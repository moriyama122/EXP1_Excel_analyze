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oriyama_yuto/ExcelColumnExtract/"/>
    </mc:Choice>
  </mc:AlternateContent>
  <xr:revisionPtr revIDLastSave="0" documentId="13_ncr:1_{BC02ECDC-4621-E944-B08B-43A392A8224F}" xr6:coauthVersionLast="47" xr6:coauthVersionMax="47" xr10:uidLastSave="{00000000-0000-0000-0000-000000000000}"/>
  <bookViews>
    <workbookView xWindow="17780" yWindow="1900" windowWidth="17320" windowHeight="19120" xr2:uid="{00000000-000D-0000-FFFF-FFFF00000000}"/>
  </bookViews>
  <sheets>
    <sheet name="反応時間" sheetId="1" r:id="rId1"/>
    <sheet name="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1" l="1" a="1"/>
  <c r="S23" i="1" s="1"/>
  <c r="R23" i="1" a="1"/>
  <c r="R23" i="1" s="1"/>
  <c r="Q23" i="1" a="1"/>
  <c r="Q23" i="1" s="1"/>
  <c r="S15" i="1"/>
  <c r="F21" i="1"/>
  <c r="F20" i="1"/>
  <c r="N20" i="1" s="1"/>
  <c r="J12" i="1"/>
  <c r="I18" i="1"/>
  <c r="F18" i="1"/>
  <c r="C18" i="1"/>
  <c r="F16" i="1"/>
  <c r="I14" i="1"/>
  <c r="F14" i="1"/>
  <c r="C13" i="1"/>
  <c r="I11" i="1"/>
  <c r="I9" i="1"/>
  <c r="I10" i="1"/>
  <c r="M9" i="1"/>
  <c r="C9" i="1"/>
  <c r="R8" i="1"/>
  <c r="S8" i="1"/>
  <c r="F8" i="1"/>
  <c r="I7" i="1"/>
  <c r="I5" i="1"/>
  <c r="F4" i="1"/>
  <c r="C6" i="1"/>
  <c r="M6" i="1" s="1"/>
  <c r="S4" i="1"/>
  <c r="S5" i="1"/>
  <c r="S6" i="1"/>
  <c r="S7" i="1"/>
  <c r="S9" i="1"/>
  <c r="S10" i="1"/>
  <c r="S11" i="1"/>
  <c r="S12" i="1"/>
  <c r="S13" i="1"/>
  <c r="S14" i="1"/>
  <c r="S16" i="1"/>
  <c r="S17" i="1"/>
  <c r="S18" i="1"/>
  <c r="S19" i="1"/>
  <c r="S20" i="1"/>
  <c r="S21" i="1"/>
  <c r="S22" i="1"/>
  <c r="R4" i="1"/>
  <c r="R5" i="1"/>
  <c r="R6" i="1"/>
  <c r="R7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S3" i="1"/>
  <c r="R3" i="1"/>
  <c r="Q3" i="1"/>
  <c r="M3" i="1"/>
  <c r="N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1" i="1"/>
  <c r="N22" i="1"/>
  <c r="M22" i="1"/>
  <c r="M4" i="1"/>
  <c r="M5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<sst xmlns="http://schemas.openxmlformats.org/spreadsheetml/2006/main" count="82" uniqueCount="50">
  <si>
    <t>Subject</t>
  </si>
  <si>
    <t>task1</t>
  </si>
  <si>
    <t>task2</t>
  </si>
  <si>
    <t>task3</t>
  </si>
  <si>
    <t>R</t>
  </si>
  <si>
    <t>S</t>
  </si>
  <si>
    <t>T</t>
  </si>
  <si>
    <t>EXP101</t>
  </si>
  <si>
    <t>EXP102</t>
  </si>
  <si>
    <t>EXP103</t>
  </si>
  <si>
    <t>EXP104</t>
  </si>
  <si>
    <t>EXP105</t>
  </si>
  <si>
    <t>EXP106</t>
  </si>
  <si>
    <t>EXP107</t>
  </si>
  <si>
    <t>EXP108</t>
  </si>
  <si>
    <t>EXP109</t>
  </si>
  <si>
    <t>EXP110</t>
  </si>
  <si>
    <t>EXP111</t>
  </si>
  <si>
    <t>EXP112</t>
  </si>
  <si>
    <t>EXP113</t>
  </si>
  <si>
    <t>EXP114</t>
  </si>
  <si>
    <t>EXP115</t>
  </si>
  <si>
    <t>EXP116</t>
  </si>
  <si>
    <t>EXP117</t>
  </si>
  <si>
    <t>EXP118</t>
  </si>
  <si>
    <t>EXP119</t>
  </si>
  <si>
    <t>EXP120</t>
  </si>
  <si>
    <t>EXP101</t>
    <phoneticPr fontId="1"/>
  </si>
  <si>
    <t>task1</t>
    <phoneticPr fontId="1"/>
  </si>
  <si>
    <t>task2</t>
    <phoneticPr fontId="1"/>
  </si>
  <si>
    <t>task3</t>
    <phoneticPr fontId="1"/>
  </si>
  <si>
    <t>S-R</t>
    <phoneticPr fontId="1"/>
  </si>
  <si>
    <t>T-R</t>
    <phoneticPr fontId="1"/>
  </si>
  <si>
    <t>片方事故</t>
    <rPh sb="0" eb="4">
      <t>カタホウ</t>
    </rPh>
    <phoneticPr fontId="1"/>
  </si>
  <si>
    <t>片方事故</t>
    <rPh sb="0" eb="1">
      <t>カタホウ</t>
    </rPh>
    <phoneticPr fontId="1"/>
  </si>
  <si>
    <t>Music</t>
    <phoneticPr fontId="1"/>
  </si>
  <si>
    <t>Video</t>
    <phoneticPr fontId="1"/>
  </si>
  <si>
    <t>Game</t>
    <phoneticPr fontId="1"/>
  </si>
  <si>
    <r>
      <t>p</t>
    </r>
    <r>
      <rPr>
        <sz val="11"/>
        <color rgb="FF000000"/>
        <rFont val="MS Gothic"/>
        <family val="2"/>
        <charset val="128"/>
      </rPr>
      <t>値</t>
    </r>
    <rPh sb="1" eb="2">
      <t xml:space="preserve">チ </t>
    </rPh>
    <phoneticPr fontId="1"/>
  </si>
  <si>
    <t>MusicVideo</t>
    <phoneticPr fontId="1"/>
  </si>
  <si>
    <t>MusicGame</t>
    <phoneticPr fontId="1"/>
  </si>
  <si>
    <t>VideoGame</t>
    <phoneticPr fontId="1"/>
  </si>
  <si>
    <t>3.4655,2.6995,2.7995,3.8660,2.1660,3.9990,3.0325,2.3830,2.5320,2.4320,2.2995,2.0325,2.1665,2.7325,2.0000,2.2330,1.8665,1.8330,1.9665,1.6000</t>
    <phoneticPr fontId="1"/>
  </si>
  <si>
    <t>3.3985,3.2330,2.7330,3.0995,1.9000,3.5660,2.6995,2.3330,2.6155,2.3320,1.8000,1.4995,1.7335,2.3330,1.7325,2.5660,1.9665,1.5995,1.5665,1.2995</t>
    <phoneticPr fontId="1"/>
  </si>
  <si>
    <t>0.00785**</t>
    <phoneticPr fontId="1"/>
  </si>
  <si>
    <t>0.00367**</t>
    <phoneticPr fontId="1"/>
  </si>
  <si>
    <t>0.00976**</t>
    <phoneticPr fontId="1"/>
  </si>
  <si>
    <t>3.8320,3.0660,3.0495,4.0990,2.4995,4.9650,2.8325,2.2330,2.5325,2.5330,2.1000,2.1330,2.9320,2.4325,2.6325,3.0990,2.1325,2.2325,2.2990,1.5000</t>
    <phoneticPr fontId="1"/>
  </si>
  <si>
    <t>0.0056**</t>
    <phoneticPr fontId="1"/>
  </si>
  <si>
    <t>0.000154***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</si>
</sst>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  <family val="2"/>
    </font>
    <font>
      <sz val="6"/>
      <name val="Tsukushi A Round Gothic Bold"/>
      <family val="3"/>
      <charset val="128"/>
    </font>
    <font>
      <sz val="11"/>
      <color rgb="FF000000"/>
      <name val="MS Gothic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6">
    <xf numFmtId="0" fontId="0" fillId="0" borderId="0" xfId="0"/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0" xfId="0" applyFill="1"/>
    <xf numFmtId="0" fontId="0" fillId="3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topLeftCell="I1" zoomScale="99" workbookViewId="0">
      <selection activeCell="R24" sqref="R24"/>
    </sheetView>
  </sheetViews>
  <sheetFormatPr baseColWidth="10" defaultColWidth="11.6640625" defaultRowHeight="15"/>
  <cols>
    <col min="1" max="1" width="9.1640625" customWidth="1"/>
    <col min="2" max="2" width="8" customWidth="1"/>
    <col min="3" max="4" width="9" customWidth="1"/>
  </cols>
  <sheetData>
    <row r="1" spans="1:19">
      <c r="A1" t="s">
        <v>0</v>
      </c>
      <c r="B1" s="1" t="s">
        <v>1</v>
      </c>
      <c r="C1" s="1"/>
      <c r="D1" s="1"/>
      <c r="E1" s="1" t="s">
        <v>2</v>
      </c>
      <c r="F1" s="1"/>
      <c r="G1" s="1"/>
      <c r="H1" s="1" t="s">
        <v>3</v>
      </c>
      <c r="I1" s="1"/>
      <c r="J1" s="1"/>
      <c r="M1" t="s">
        <v>31</v>
      </c>
      <c r="Q1" t="s">
        <v>32</v>
      </c>
    </row>
    <row r="2" spans="1:19">
      <c r="B2" t="s">
        <v>4</v>
      </c>
      <c r="C2" t="s">
        <v>5</v>
      </c>
      <c r="D2" t="s">
        <v>6</v>
      </c>
      <c r="E2" t="s">
        <v>4</v>
      </c>
      <c r="F2" t="s">
        <v>5</v>
      </c>
      <c r="G2" t="s">
        <v>6</v>
      </c>
      <c r="H2" t="s">
        <v>4</v>
      </c>
      <c r="I2" t="s">
        <v>5</v>
      </c>
      <c r="J2" t="s">
        <v>6</v>
      </c>
      <c r="M2" t="s">
        <v>28</v>
      </c>
      <c r="N2" t="s">
        <v>29</v>
      </c>
      <c r="O2" t="s">
        <v>30</v>
      </c>
      <c r="Q2" t="s">
        <v>28</v>
      </c>
      <c r="R2" t="s">
        <v>29</v>
      </c>
      <c r="S2" t="s">
        <v>30</v>
      </c>
    </row>
    <row r="3" spans="1:19">
      <c r="A3" t="s">
        <v>7</v>
      </c>
      <c r="B3">
        <v>587.44500000000005</v>
      </c>
      <c r="C3" s="2">
        <v>589.24450000000002</v>
      </c>
      <c r="D3" s="2">
        <v>590.84349999999995</v>
      </c>
      <c r="E3">
        <v>579.96349999999995</v>
      </c>
      <c r="F3">
        <v>581.89599999999996</v>
      </c>
      <c r="G3">
        <v>583.42899999999997</v>
      </c>
      <c r="H3">
        <v>599.22550000000001</v>
      </c>
      <c r="I3">
        <v>602.25800000000004</v>
      </c>
      <c r="J3">
        <v>603.0575</v>
      </c>
      <c r="L3" s="5" t="s">
        <v>27</v>
      </c>
      <c r="M3">
        <f>C3-B3</f>
        <v>1.7994999999999663</v>
      </c>
      <c r="N3">
        <f>F3-E3</f>
        <v>1.9325000000000045</v>
      </c>
      <c r="O3">
        <f>I3-H3</f>
        <v>3.0325000000000273</v>
      </c>
      <c r="Q3">
        <f>D3-B3</f>
        <v>3.398499999999899</v>
      </c>
      <c r="R3">
        <f>G3-E3</f>
        <v>3.46550000000002</v>
      </c>
      <c r="S3">
        <f>J3-H3</f>
        <v>3.8319999999999936</v>
      </c>
    </row>
    <row r="4" spans="1:19">
      <c r="A4" t="s">
        <v>8</v>
      </c>
      <c r="B4">
        <v>527.57550000000003</v>
      </c>
      <c r="C4">
        <v>529.57550000000003</v>
      </c>
      <c r="D4">
        <v>530.80849999999998</v>
      </c>
      <c r="E4">
        <v>511.84649999999999</v>
      </c>
      <c r="F4">
        <f>(513.263+514.229)/2</f>
        <v>513.74600000000009</v>
      </c>
      <c r="G4">
        <v>514.54600000000005</v>
      </c>
      <c r="H4">
        <v>527.95899999999995</v>
      </c>
      <c r="I4">
        <v>529.62549999999999</v>
      </c>
      <c r="J4">
        <v>531.02499999999998</v>
      </c>
      <c r="L4" s="5" t="s">
        <v>8</v>
      </c>
      <c r="M4">
        <f t="shared" ref="M4:M22" si="0">C4-B4</f>
        <v>2</v>
      </c>
      <c r="N4">
        <f t="shared" ref="N4:N22" si="1">F4-E4</f>
        <v>1.8995000000001028</v>
      </c>
      <c r="O4">
        <f t="shared" ref="O4:O22" si="2">I4-H4</f>
        <v>1.6665000000000418</v>
      </c>
      <c r="Q4">
        <f t="shared" ref="Q4:Q22" si="3">D4-B4</f>
        <v>3.2329999999999472</v>
      </c>
      <c r="R4">
        <f t="shared" ref="R4:R22" si="4">G4-E4</f>
        <v>2.6995000000000573</v>
      </c>
      <c r="S4">
        <f t="shared" ref="S4:S22" si="5">J4-H4</f>
        <v>3.0660000000000309</v>
      </c>
    </row>
    <row r="5" spans="1:19">
      <c r="A5" t="s">
        <v>9</v>
      </c>
      <c r="B5">
        <v>519.39449999999999</v>
      </c>
      <c r="C5">
        <v>520.69399999999996</v>
      </c>
      <c r="D5">
        <v>522.12750000000005</v>
      </c>
      <c r="E5">
        <v>487.58550000000002</v>
      </c>
      <c r="F5">
        <v>489.01900000000001</v>
      </c>
      <c r="G5">
        <v>490.38499999999999</v>
      </c>
      <c r="H5">
        <v>555.21900000000005</v>
      </c>
      <c r="I5">
        <f>(569.549+545.322)/2</f>
        <v>557.43550000000005</v>
      </c>
      <c r="J5">
        <v>558.26850000000002</v>
      </c>
      <c r="L5" s="5" t="s">
        <v>9</v>
      </c>
      <c r="M5">
        <f t="shared" si="0"/>
        <v>1.2994999999999663</v>
      </c>
      <c r="N5">
        <f t="shared" si="1"/>
        <v>1.4334999999999809</v>
      </c>
      <c r="O5">
        <f t="shared" si="2"/>
        <v>2.2164999999999964</v>
      </c>
      <c r="Q5">
        <f t="shared" si="3"/>
        <v>2.7330000000000609</v>
      </c>
      <c r="R5">
        <f t="shared" si="4"/>
        <v>2.7994999999999663</v>
      </c>
      <c r="S5">
        <f t="shared" si="5"/>
        <v>3.0494999999999663</v>
      </c>
    </row>
    <row r="6" spans="1:19">
      <c r="A6" t="s">
        <v>10</v>
      </c>
      <c r="B6">
        <v>598.89149999999995</v>
      </c>
      <c r="C6">
        <f>(600.175+600.275)/2</f>
        <v>600.22499999999991</v>
      </c>
      <c r="D6">
        <v>601.99099999999999</v>
      </c>
      <c r="E6">
        <v>590.92700000000002</v>
      </c>
      <c r="F6">
        <v>592.29349999999999</v>
      </c>
      <c r="G6">
        <v>594.79300000000001</v>
      </c>
      <c r="H6">
        <v>606.85649999999998</v>
      </c>
      <c r="I6">
        <v>609.55600000000004</v>
      </c>
      <c r="J6">
        <v>610.95550000000003</v>
      </c>
      <c r="L6" s="5" t="s">
        <v>10</v>
      </c>
      <c r="M6">
        <f>C6-B6</f>
        <v>1.3334999999999582</v>
      </c>
      <c r="N6">
        <f t="shared" si="1"/>
        <v>1.3664999999999736</v>
      </c>
      <c r="O6">
        <f t="shared" si="2"/>
        <v>2.6995000000000573</v>
      </c>
      <c r="Q6">
        <f t="shared" si="3"/>
        <v>3.0995000000000346</v>
      </c>
      <c r="R6">
        <f t="shared" si="4"/>
        <v>3.8659999999999854</v>
      </c>
      <c r="S6">
        <f t="shared" si="5"/>
        <v>4.0990000000000464</v>
      </c>
    </row>
    <row r="7" spans="1:19">
      <c r="A7" t="s">
        <v>11</v>
      </c>
      <c r="B7">
        <v>571.11500000000001</v>
      </c>
      <c r="C7">
        <v>572.14850000000001</v>
      </c>
      <c r="D7">
        <v>573.01499999999999</v>
      </c>
      <c r="E7">
        <v>559.23500000000001</v>
      </c>
      <c r="F7">
        <v>560.601</v>
      </c>
      <c r="G7">
        <v>561.40099999999995</v>
      </c>
      <c r="H7">
        <v>583.12900000000002</v>
      </c>
      <c r="I7">
        <f>(584.179+584.345)/2</f>
        <v>584.26199999999994</v>
      </c>
      <c r="J7">
        <v>585.62850000000003</v>
      </c>
      <c r="L7" s="5" t="s">
        <v>11</v>
      </c>
      <c r="M7">
        <f t="shared" si="0"/>
        <v>1.0335000000000036</v>
      </c>
      <c r="N7">
        <f t="shared" si="1"/>
        <v>1.3659999999999854</v>
      </c>
      <c r="O7">
        <f t="shared" si="2"/>
        <v>1.1329999999999245</v>
      </c>
      <c r="Q7">
        <f t="shared" si="3"/>
        <v>1.8999999999999773</v>
      </c>
      <c r="R7">
        <f t="shared" si="4"/>
        <v>2.16599999999994</v>
      </c>
      <c r="S7">
        <f t="shared" si="5"/>
        <v>2.4995000000000118</v>
      </c>
    </row>
    <row r="8" spans="1:19">
      <c r="A8" t="s">
        <v>12</v>
      </c>
      <c r="B8">
        <v>520.06100000000004</v>
      </c>
      <c r="C8">
        <v>522.02700000000004</v>
      </c>
      <c r="D8">
        <v>523.62699999999995</v>
      </c>
      <c r="E8">
        <v>537.52350000000001</v>
      </c>
      <c r="F8">
        <f>(533.458+548.421)/2</f>
        <v>540.93949999999995</v>
      </c>
      <c r="G8" s="3" t="s">
        <v>33</v>
      </c>
      <c r="H8">
        <v>556.83550000000002</v>
      </c>
      <c r="I8">
        <v>560.13499999999999</v>
      </c>
      <c r="J8" s="3" t="s">
        <v>33</v>
      </c>
      <c r="L8" s="5" t="s">
        <v>12</v>
      </c>
      <c r="M8">
        <f t="shared" si="0"/>
        <v>1.9660000000000082</v>
      </c>
      <c r="N8">
        <f t="shared" si="1"/>
        <v>3.41599999999994</v>
      </c>
      <c r="O8">
        <f t="shared" si="2"/>
        <v>3.2994999999999663</v>
      </c>
      <c r="Q8">
        <f t="shared" si="3"/>
        <v>3.5659999999999172</v>
      </c>
      <c r="R8">
        <f>550.154-546.155</f>
        <v>3.9990000000000236</v>
      </c>
      <c r="S8">
        <f>518.628-513.663</f>
        <v>4.9650000000000318</v>
      </c>
    </row>
    <row r="9" spans="1:19">
      <c r="A9" t="s">
        <v>13</v>
      </c>
      <c r="B9">
        <v>544.505</v>
      </c>
      <c r="C9">
        <f>(562.817+529.192)/2</f>
        <v>546.00450000000001</v>
      </c>
      <c r="D9">
        <v>547.20450000000005</v>
      </c>
      <c r="E9">
        <v>543.65549999999996</v>
      </c>
      <c r="F9">
        <v>545.05499999999995</v>
      </c>
      <c r="G9">
        <v>546.68799999999999</v>
      </c>
      <c r="H9">
        <v>519.59450000000004</v>
      </c>
      <c r="I9">
        <f>(544.955+496.833)/2</f>
        <v>520.89400000000001</v>
      </c>
      <c r="J9">
        <v>522.42700000000002</v>
      </c>
      <c r="L9" s="5" t="s">
        <v>13</v>
      </c>
      <c r="M9">
        <f>C9-B9</f>
        <v>1.4995000000000118</v>
      </c>
      <c r="N9">
        <f t="shared" si="1"/>
        <v>1.3994999999999891</v>
      </c>
      <c r="O9">
        <f t="shared" si="2"/>
        <v>1.2994999999999663</v>
      </c>
      <c r="Q9">
        <f t="shared" si="3"/>
        <v>2.6995000000000573</v>
      </c>
      <c r="R9">
        <f t="shared" si="4"/>
        <v>3.0325000000000273</v>
      </c>
      <c r="S9">
        <f t="shared" si="5"/>
        <v>2.8324999999999818</v>
      </c>
    </row>
    <row r="10" spans="1:19">
      <c r="A10" t="s">
        <v>14</v>
      </c>
      <c r="B10">
        <v>535.50699999999995</v>
      </c>
      <c r="C10">
        <v>537.2405</v>
      </c>
      <c r="D10">
        <v>537.84</v>
      </c>
      <c r="E10">
        <v>535.39049999999997</v>
      </c>
      <c r="F10">
        <v>537.10699999999997</v>
      </c>
      <c r="G10">
        <v>537.77350000000001</v>
      </c>
      <c r="H10">
        <v>539.3895</v>
      </c>
      <c r="I10">
        <f>(568.916+512.996)/2</f>
        <v>540.95600000000002</v>
      </c>
      <c r="J10">
        <v>541.62249999999995</v>
      </c>
      <c r="L10" s="5" t="s">
        <v>14</v>
      </c>
      <c r="M10">
        <f t="shared" si="0"/>
        <v>1.7335000000000491</v>
      </c>
      <c r="N10">
        <f t="shared" si="1"/>
        <v>1.7164999999999964</v>
      </c>
      <c r="O10">
        <f t="shared" si="2"/>
        <v>1.5665000000000191</v>
      </c>
      <c r="Q10">
        <f t="shared" si="3"/>
        <v>2.3330000000000837</v>
      </c>
      <c r="R10">
        <f t="shared" si="4"/>
        <v>2.3830000000000382</v>
      </c>
      <c r="S10">
        <f t="shared" si="5"/>
        <v>2.2329999999999472</v>
      </c>
    </row>
    <row r="11" spans="1:19">
      <c r="A11" t="s">
        <v>15</v>
      </c>
      <c r="B11">
        <v>527.34299999999996</v>
      </c>
      <c r="C11">
        <v>528.75900000000001</v>
      </c>
      <c r="D11">
        <v>529.95849999999996</v>
      </c>
      <c r="E11">
        <v>535.8075</v>
      </c>
      <c r="F11">
        <v>537.2405</v>
      </c>
      <c r="G11">
        <v>538.33950000000004</v>
      </c>
      <c r="H11">
        <v>519.49450000000002</v>
      </c>
      <c r="I11">
        <f>(545.522+497.6)/2</f>
        <v>521.56100000000004</v>
      </c>
      <c r="J11">
        <v>522.02700000000004</v>
      </c>
      <c r="L11" s="5" t="s">
        <v>15</v>
      </c>
      <c r="M11">
        <f t="shared" si="0"/>
        <v>1.4160000000000537</v>
      </c>
      <c r="N11">
        <f t="shared" si="1"/>
        <v>1.4329999999999927</v>
      </c>
      <c r="O11">
        <f t="shared" si="2"/>
        <v>2.0665000000000191</v>
      </c>
      <c r="Q11">
        <f t="shared" si="3"/>
        <v>2.6154999999999973</v>
      </c>
      <c r="R11">
        <f t="shared" si="4"/>
        <v>2.5320000000000391</v>
      </c>
      <c r="S11">
        <f t="shared" si="5"/>
        <v>2.5325000000000273</v>
      </c>
    </row>
    <row r="12" spans="1:19">
      <c r="A12" t="s">
        <v>16</v>
      </c>
      <c r="B12">
        <v>521.24450000000002</v>
      </c>
      <c r="C12">
        <v>523.37699999999995</v>
      </c>
      <c r="D12">
        <v>523.57650000000001</v>
      </c>
      <c r="E12">
        <v>514.47950000000003</v>
      </c>
      <c r="F12">
        <v>515.91250000000002</v>
      </c>
      <c r="G12">
        <v>516.91150000000005</v>
      </c>
      <c r="H12">
        <v>529.09199999999998</v>
      </c>
      <c r="I12">
        <v>531.09199999999998</v>
      </c>
      <c r="J12">
        <f>(547.288+515.962)/2</f>
        <v>531.625</v>
      </c>
      <c r="L12" s="5" t="s">
        <v>16</v>
      </c>
      <c r="M12">
        <f t="shared" si="0"/>
        <v>2.1324999999999363</v>
      </c>
      <c r="N12">
        <f t="shared" si="1"/>
        <v>1.4329999999999927</v>
      </c>
      <c r="O12">
        <f t="shared" si="2"/>
        <v>2</v>
      </c>
      <c r="Q12">
        <f t="shared" si="3"/>
        <v>2.3319999999999936</v>
      </c>
      <c r="R12">
        <f t="shared" si="4"/>
        <v>2.4320000000000164</v>
      </c>
      <c r="S12">
        <f t="shared" si="5"/>
        <v>2.5330000000000155</v>
      </c>
    </row>
    <row r="13" spans="1:19">
      <c r="A13" t="s">
        <v>17</v>
      </c>
      <c r="B13">
        <v>543.42200000000003</v>
      </c>
      <c r="C13">
        <f>(544.822+544.955)/2</f>
        <v>544.88850000000002</v>
      </c>
      <c r="D13">
        <v>545.22199999999998</v>
      </c>
      <c r="E13">
        <v>527.50900000000001</v>
      </c>
      <c r="F13">
        <v>529.17550000000006</v>
      </c>
      <c r="G13">
        <v>529.80849999999998</v>
      </c>
      <c r="H13">
        <v>513.11249999999995</v>
      </c>
      <c r="I13">
        <v>514.64549999999997</v>
      </c>
      <c r="J13">
        <v>515.21249999999998</v>
      </c>
      <c r="L13" s="5" t="s">
        <v>17</v>
      </c>
      <c r="M13">
        <f t="shared" si="0"/>
        <v>1.4664999999999964</v>
      </c>
      <c r="N13">
        <f t="shared" si="1"/>
        <v>1.6665000000000418</v>
      </c>
      <c r="O13">
        <f t="shared" si="2"/>
        <v>1.5330000000000155</v>
      </c>
      <c r="Q13">
        <f t="shared" si="3"/>
        <v>1.7999999999999545</v>
      </c>
      <c r="R13">
        <f t="shared" si="4"/>
        <v>2.2994999999999663</v>
      </c>
      <c r="S13">
        <f t="shared" si="5"/>
        <v>2.1000000000000227</v>
      </c>
    </row>
    <row r="14" spans="1:19">
      <c r="A14" t="s">
        <v>18</v>
      </c>
      <c r="B14">
        <v>521.37750000000005</v>
      </c>
      <c r="C14">
        <v>522.577</v>
      </c>
      <c r="D14">
        <v>522.87699999999995</v>
      </c>
      <c r="E14">
        <v>521.01099999999997</v>
      </c>
      <c r="F14">
        <f>(530.392+514.429)/2</f>
        <v>522.41049999999996</v>
      </c>
      <c r="G14">
        <v>523.04349999999999</v>
      </c>
      <c r="H14">
        <v>520.52750000000003</v>
      </c>
      <c r="I14">
        <f>(545.588+498.733)/2</f>
        <v>522.16049999999996</v>
      </c>
      <c r="J14">
        <v>522.66049999999996</v>
      </c>
      <c r="L14" s="5" t="s">
        <v>18</v>
      </c>
      <c r="M14">
        <f t="shared" si="0"/>
        <v>1.1994999999999436</v>
      </c>
      <c r="N14">
        <f t="shared" si="1"/>
        <v>1.3994999999999891</v>
      </c>
      <c r="O14">
        <f t="shared" si="2"/>
        <v>1.6329999999999245</v>
      </c>
      <c r="Q14">
        <f t="shared" si="3"/>
        <v>1.4994999999998981</v>
      </c>
      <c r="R14">
        <f t="shared" si="4"/>
        <v>2.0325000000000273</v>
      </c>
      <c r="S14">
        <f t="shared" si="5"/>
        <v>2.1329999999999245</v>
      </c>
    </row>
    <row r="15" spans="1:19">
      <c r="A15" t="s">
        <v>19</v>
      </c>
      <c r="B15">
        <v>538.48950000000002</v>
      </c>
      <c r="C15">
        <v>539.62300000000005</v>
      </c>
      <c r="D15">
        <v>540.22299999999996</v>
      </c>
      <c r="E15">
        <v>563.21699999999998</v>
      </c>
      <c r="F15">
        <v>564.7165</v>
      </c>
      <c r="G15">
        <v>565.38350000000003</v>
      </c>
      <c r="H15">
        <v>528.34249999999997</v>
      </c>
      <c r="I15">
        <v>530.97500000000002</v>
      </c>
      <c r="J15" s="3" t="s">
        <v>34</v>
      </c>
      <c r="L15" s="5" t="s">
        <v>19</v>
      </c>
      <c r="M15">
        <f t="shared" si="0"/>
        <v>1.1335000000000264</v>
      </c>
      <c r="N15">
        <f t="shared" si="1"/>
        <v>1.4995000000000118</v>
      </c>
      <c r="O15">
        <f t="shared" si="2"/>
        <v>2.63250000000005</v>
      </c>
      <c r="Q15">
        <f t="shared" si="3"/>
        <v>1.7334999999999354</v>
      </c>
      <c r="R15">
        <f t="shared" si="4"/>
        <v>2.1665000000000418</v>
      </c>
      <c r="S15">
        <f>515.162-512.23</f>
        <v>2.9320000000000164</v>
      </c>
    </row>
    <row r="16" spans="1:19">
      <c r="A16" t="s">
        <v>20</v>
      </c>
      <c r="B16">
        <v>538.14</v>
      </c>
      <c r="C16">
        <v>539.6395</v>
      </c>
      <c r="D16">
        <v>540.47299999999996</v>
      </c>
      <c r="E16">
        <v>514.87900000000002</v>
      </c>
      <c r="F16">
        <f>(516.629+515.862)/2</f>
        <v>516.24549999999999</v>
      </c>
      <c r="G16">
        <v>517.61149999999998</v>
      </c>
      <c r="H16">
        <v>534.04100000000005</v>
      </c>
      <c r="I16">
        <v>535.40750000000003</v>
      </c>
      <c r="J16">
        <v>536.47349999999994</v>
      </c>
      <c r="L16" s="5" t="s">
        <v>20</v>
      </c>
      <c r="M16">
        <f t="shared" si="0"/>
        <v>1.4995000000000118</v>
      </c>
      <c r="N16">
        <f t="shared" si="1"/>
        <v>1.3664999999999736</v>
      </c>
      <c r="O16">
        <f t="shared" si="2"/>
        <v>1.3664999999999736</v>
      </c>
      <c r="Q16">
        <f t="shared" si="3"/>
        <v>2.33299999999997</v>
      </c>
      <c r="R16">
        <f t="shared" si="4"/>
        <v>2.7324999999999591</v>
      </c>
      <c r="S16">
        <f t="shared" si="5"/>
        <v>2.4324999999998909</v>
      </c>
    </row>
    <row r="17" spans="1:19">
      <c r="A17" t="s">
        <v>21</v>
      </c>
      <c r="B17">
        <v>507.94749999999999</v>
      </c>
      <c r="C17">
        <v>509.18049999999999</v>
      </c>
      <c r="D17">
        <v>509.68</v>
      </c>
      <c r="E17">
        <v>536.20699999999999</v>
      </c>
      <c r="F17">
        <v>537.40700000000004</v>
      </c>
      <c r="G17">
        <v>538.20699999999999</v>
      </c>
      <c r="H17">
        <v>544.68849999999998</v>
      </c>
      <c r="I17">
        <v>546.48800000000006</v>
      </c>
      <c r="J17">
        <v>547.32100000000003</v>
      </c>
      <c r="L17" s="5" t="s">
        <v>21</v>
      </c>
      <c r="M17">
        <f t="shared" si="0"/>
        <v>1.2330000000000041</v>
      </c>
      <c r="N17">
        <f t="shared" si="1"/>
        <v>1.2000000000000455</v>
      </c>
      <c r="O17">
        <f t="shared" si="2"/>
        <v>1.79950000000008</v>
      </c>
      <c r="Q17">
        <f t="shared" si="3"/>
        <v>1.7325000000000159</v>
      </c>
      <c r="R17">
        <f t="shared" si="4"/>
        <v>2</v>
      </c>
      <c r="S17">
        <f t="shared" si="5"/>
        <v>2.63250000000005</v>
      </c>
    </row>
    <row r="18" spans="1:19">
      <c r="A18" t="s">
        <v>22</v>
      </c>
      <c r="B18">
        <v>547.70450000000005</v>
      </c>
      <c r="C18">
        <f>(528.926+569.416)/2</f>
        <v>549.17100000000005</v>
      </c>
      <c r="D18">
        <v>550.27049999999997</v>
      </c>
      <c r="E18">
        <v>512.96299999999997</v>
      </c>
      <c r="F18">
        <f>(512.796+515.862)/2</f>
        <v>514.32899999999995</v>
      </c>
      <c r="G18">
        <v>515.19600000000003</v>
      </c>
      <c r="H18">
        <v>491.50150000000002</v>
      </c>
      <c r="I18">
        <f>(496.8+489.269)/2</f>
        <v>493.03449999999998</v>
      </c>
      <c r="J18">
        <v>494.60050000000001</v>
      </c>
      <c r="L18" s="5" t="s">
        <v>22</v>
      </c>
      <c r="M18">
        <f t="shared" si="0"/>
        <v>1.4664999999999964</v>
      </c>
      <c r="N18">
        <f t="shared" si="1"/>
        <v>1.3659999999999854</v>
      </c>
      <c r="O18">
        <f t="shared" si="2"/>
        <v>1.5329999999999586</v>
      </c>
      <c r="Q18">
        <f t="shared" si="3"/>
        <v>2.5659999999999172</v>
      </c>
      <c r="R18">
        <f t="shared" si="4"/>
        <v>2.2330000000000609</v>
      </c>
      <c r="S18">
        <f t="shared" si="5"/>
        <v>3.0989999999999895</v>
      </c>
    </row>
    <row r="19" spans="1:19">
      <c r="A19" t="s">
        <v>23</v>
      </c>
      <c r="B19">
        <v>527.35900000000004</v>
      </c>
      <c r="C19">
        <v>528.75900000000001</v>
      </c>
      <c r="D19">
        <v>529.32550000000003</v>
      </c>
      <c r="E19">
        <v>527.35950000000003</v>
      </c>
      <c r="F19">
        <v>528.82600000000002</v>
      </c>
      <c r="G19">
        <v>529.226</v>
      </c>
      <c r="H19">
        <v>519.36149999999998</v>
      </c>
      <c r="I19">
        <v>521.02750000000003</v>
      </c>
      <c r="J19">
        <v>521.49400000000003</v>
      </c>
      <c r="L19" s="5" t="s">
        <v>23</v>
      </c>
      <c r="M19">
        <f t="shared" si="0"/>
        <v>1.3999999999999773</v>
      </c>
      <c r="N19">
        <f t="shared" si="1"/>
        <v>1.4664999999999964</v>
      </c>
      <c r="O19">
        <f t="shared" si="2"/>
        <v>1.6660000000000537</v>
      </c>
      <c r="Q19">
        <f t="shared" si="3"/>
        <v>1.9664999999999964</v>
      </c>
      <c r="R19">
        <f t="shared" si="4"/>
        <v>1.8664999999999736</v>
      </c>
      <c r="S19">
        <f t="shared" si="5"/>
        <v>2.13250000000005</v>
      </c>
    </row>
    <row r="20" spans="1:19">
      <c r="A20" t="s">
        <v>24</v>
      </c>
      <c r="B20">
        <v>543.20550000000003</v>
      </c>
      <c r="C20">
        <v>544.33849999999995</v>
      </c>
      <c r="D20">
        <v>544.80499999999995</v>
      </c>
      <c r="E20">
        <v>547.221</v>
      </c>
      <c r="F20">
        <f>(544.422+552.753)/2</f>
        <v>548.58750000000009</v>
      </c>
      <c r="G20">
        <v>549.05399999999997</v>
      </c>
      <c r="H20">
        <v>535.24099999999999</v>
      </c>
      <c r="I20">
        <v>537.27350000000001</v>
      </c>
      <c r="J20">
        <v>537.47349999999994</v>
      </c>
      <c r="L20" s="5" t="s">
        <v>24</v>
      </c>
      <c r="M20">
        <f t="shared" si="0"/>
        <v>1.1329999999999245</v>
      </c>
      <c r="N20">
        <f t="shared" si="1"/>
        <v>1.3665000000000873</v>
      </c>
      <c r="O20">
        <f t="shared" si="2"/>
        <v>2.0325000000000273</v>
      </c>
      <c r="Q20">
        <f t="shared" si="3"/>
        <v>1.5994999999999209</v>
      </c>
      <c r="R20">
        <f t="shared" si="4"/>
        <v>1.83299999999997</v>
      </c>
      <c r="S20">
        <f t="shared" si="5"/>
        <v>2.2324999999999591</v>
      </c>
    </row>
    <row r="21" spans="1:19">
      <c r="A21" t="s">
        <v>25</v>
      </c>
      <c r="B21">
        <v>527.42600000000004</v>
      </c>
      <c r="C21">
        <v>528.65899999999999</v>
      </c>
      <c r="D21">
        <v>528.99249999999995</v>
      </c>
      <c r="E21">
        <v>520.34400000000005</v>
      </c>
      <c r="F21">
        <f>(544.755+498.866)/2</f>
        <v>521.81050000000005</v>
      </c>
      <c r="G21">
        <v>522.31050000000005</v>
      </c>
      <c r="H21">
        <v>527.79300000000001</v>
      </c>
      <c r="I21">
        <v>529.12549999999999</v>
      </c>
      <c r="J21">
        <v>530.09199999999998</v>
      </c>
      <c r="L21" s="5" t="s">
        <v>25</v>
      </c>
      <c r="M21">
        <f t="shared" si="0"/>
        <v>1.2329999999999472</v>
      </c>
      <c r="N21">
        <f t="shared" si="1"/>
        <v>1.4664999999999964</v>
      </c>
      <c r="O21">
        <f t="shared" si="2"/>
        <v>1.3324999999999818</v>
      </c>
      <c r="Q21">
        <f t="shared" si="3"/>
        <v>1.5664999999999054</v>
      </c>
      <c r="R21">
        <f t="shared" si="4"/>
        <v>1.9664999999999964</v>
      </c>
      <c r="S21">
        <f t="shared" si="5"/>
        <v>2.2989999999999782</v>
      </c>
    </row>
    <row r="22" spans="1:19">
      <c r="A22" t="s">
        <v>26</v>
      </c>
      <c r="B22">
        <v>516.56200000000001</v>
      </c>
      <c r="C22">
        <v>517.66150000000005</v>
      </c>
      <c r="D22">
        <v>517.86149999999998</v>
      </c>
      <c r="E22">
        <v>504.08150000000001</v>
      </c>
      <c r="F22">
        <v>505.28149999999999</v>
      </c>
      <c r="G22">
        <v>505.68150000000003</v>
      </c>
      <c r="H22">
        <v>520.66049999999996</v>
      </c>
      <c r="I22">
        <v>521.92700000000002</v>
      </c>
      <c r="J22">
        <v>522.16049999999996</v>
      </c>
      <c r="L22" s="5" t="s">
        <v>26</v>
      </c>
      <c r="M22">
        <f>C22-B22</f>
        <v>1.0995000000000346</v>
      </c>
      <c r="N22">
        <f t="shared" si="1"/>
        <v>1.1999999999999886</v>
      </c>
      <c r="O22">
        <f t="shared" si="2"/>
        <v>1.2665000000000646</v>
      </c>
      <c r="Q22">
        <f t="shared" si="3"/>
        <v>1.2994999999999663</v>
      </c>
      <c r="R22">
        <f t="shared" si="4"/>
        <v>1.6000000000000227</v>
      </c>
      <c r="S22">
        <f t="shared" si="5"/>
        <v>1.5</v>
      </c>
    </row>
    <row r="23" spans="1:19">
      <c r="M23" s="3" t="s">
        <v>35</v>
      </c>
      <c r="N23" s="3" t="s">
        <v>36</v>
      </c>
      <c r="O23" s="3" t="s">
        <v>37</v>
      </c>
      <c r="Q23" t="str" cm="1">
        <f t="array" ref="Q23">_xlfn.TEXTJOIN(",",TRUE,TEXT(Q3:Q22,"0.0000"))</f>
        <v>3.3985,3.2330,2.7330,3.0995,1.9000,3.5660,2.6995,2.3330,2.6155,2.3320,1.8000,1.4995,1.7335,2.3330,1.7325,2.5660,1.9665,1.5995,1.5665,1.2995</v>
      </c>
      <c r="R23" t="str" cm="1">
        <f t="array" ref="R23">_xlfn.TEXTJOIN(",",TRUE,TEXT(R3:R22,"0.0000"))</f>
        <v>3.4655,2.6995,2.7995,3.8660,2.1660,3.9990,3.0325,2.3830,2.5320,2.4320,2.2995,2.0325,2.1665,2.7325,2.0000,2.2330,1.8665,1.8330,1.9665,1.6000</v>
      </c>
      <c r="S23" t="str" cm="1">
        <f t="array" ref="S23">_xlfn.TEXTJOIN(",",TRUE,TEXT(S3:S22,"0.0000"))</f>
        <v>3.8320,3.0660,3.0495,4.0990,2.4995,4.9650,2.8325,2.2330,2.5325,2.5330,2.1000,2.1330,2.9320,2.4325,2.6325,3.0990,2.1325,2.2325,2.2990,1.5000</v>
      </c>
    </row>
    <row r="24" spans="1:19">
      <c r="L24" s="5" t="s">
        <v>38</v>
      </c>
      <c r="Q24" t="s">
        <v>43</v>
      </c>
      <c r="R24" t="s">
        <v>42</v>
      </c>
      <c r="S24" t="s">
        <v>47</v>
      </c>
    </row>
    <row r="25" spans="1:19">
      <c r="L25" s="4" t="s">
        <v>39</v>
      </c>
      <c r="M25">
        <v>0.19800000000000001</v>
      </c>
      <c r="P25" s="4" t="s">
        <v>39</v>
      </c>
      <c r="Q25" t="s">
        <v>44</v>
      </c>
    </row>
    <row r="26" spans="1:19">
      <c r="L26" s="4" t="s">
        <v>40</v>
      </c>
      <c r="M26" t="s">
        <v>45</v>
      </c>
      <c r="P26" s="4" t="s">
        <v>40</v>
      </c>
      <c r="Q26" s="4" t="s">
        <v>49</v>
      </c>
    </row>
    <row r="27" spans="1:19">
      <c r="L27" s="4" t="s">
        <v>41</v>
      </c>
      <c r="M27" t="s">
        <v>46</v>
      </c>
      <c r="P27" s="4" t="s">
        <v>41</v>
      </c>
      <c r="Q27" s="4" t="s">
        <v>48</v>
      </c>
    </row>
    <row r="28" spans="1:19">
      <c r="L28" s="4"/>
    </row>
    <row r="29" spans="1:19">
      <c r="L29" s="4"/>
    </row>
    <row r="30" spans="1:19">
      <c r="L30" s="4"/>
    </row>
    <row r="31" spans="1:19">
      <c r="L31" s="4"/>
    </row>
    <row r="32" spans="1:19">
      <c r="L32" s="4"/>
    </row>
    <row r="33" spans="12:12">
      <c r="L33" s="4"/>
    </row>
    <row r="34" spans="12:12">
      <c r="L34" s="4"/>
    </row>
    <row r="35" spans="12:12">
      <c r="L35" s="4"/>
    </row>
    <row r="36" spans="12:12">
      <c r="L36" s="4"/>
    </row>
    <row r="37" spans="12:12">
      <c r="L37" s="4"/>
    </row>
    <row r="38" spans="12:12">
      <c r="L38" s="4"/>
    </row>
  </sheetData>
  <mergeCells count="3">
    <mergeCell ref="B1:D1"/>
    <mergeCell ref="E1:G1"/>
    <mergeCell ref="H1:J1"/>
  </mergeCells>
  <phoneticPr fontId="1"/>
  <pageMargins left="0.75" right="0.75" top="0.75" bottom="0.5" header="0.5" footer="0.7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1043-5F1B-A441-95F8-4831F2762466}">
  <dimension ref="A1"/>
  <sheetViews>
    <sheetView workbookViewId="0">
      <selection activeCell="C36" sqref="C36"/>
    </sheetView>
  </sheetViews>
  <sheetFormatPr baseColWidth="10" defaultColWidth="14" defaultRowHeight="15"/>
  <sheetData/>
  <phoneticPr fontId="1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反応時間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MORIYAMA Yuto</cp:lastModifiedBy>
  <dcterms:created xsi:type="dcterms:W3CDTF">2026-01-19T05:58:20Z</dcterms:created>
  <dcterms:modified xsi:type="dcterms:W3CDTF">2026-01-19T15:23:09Z</dcterms:modified>
</cp:coreProperties>
</file>