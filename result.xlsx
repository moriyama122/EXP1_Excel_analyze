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/>
  <mc:AlternateContent xmlns:mc="http://schemas.openxmlformats.org/markup-compatibility/2006">
    <mc:Choice Requires="x15">
      <x15ac:absPath xmlns:x15ac="http://schemas.microsoft.com/office/spreadsheetml/2010/11/ac" url="/Users/moriyama_yuto/ExcelColumnExtract/"/>
    </mc:Choice>
  </mc:AlternateContent>
  <xr:revisionPtr revIDLastSave="0" documentId="13_ncr:1_{49C43DD1-9C8C-604F-ADB0-2AA5E5A7181B}" xr6:coauthVersionLast="47" xr6:coauthVersionMax="47" xr10:uidLastSave="{00000000-0000-0000-0000-000000000000}"/>
  <x:bookViews>
    <x:workbookView xWindow="16880" yWindow="1900" windowWidth="17320" windowHeight="19120" firstSheet="0" activeTab="0" xr2:uid="{00000000-000D-0000-FFFF-FFFF00000000}"/>
  </x:bookViews>
  <x:sheets>
    <x:sheet name="Result" sheetId="2" r:id="rId1"/>
    <x:sheet name="反応時間" sheetId="1" r:id="rId2"/>
    <x:sheet name="ステアリング操作量" sheetId="3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24" i="2" a="1"/>
  <x:c r="B24" i="2"/>
  <x:c r="C24" i="2" a="1"/>
  <x:c r="C24" i="2"/>
  <x:c r="D24" i="2" a="1"/>
  <x:c r="D24" i="2"/>
  <x:c r="M3" i="1"/>
  <x:c r="N3" i="1"/>
  <x:c r="O3" i="1"/>
  <x:c r="Q3" i="1"/>
  <x:c r="R3" i="1"/>
  <x:c r="S3" i="1"/>
  <x:c r="F4" i="1"/>
  <x:c r="M4" i="1"/>
  <x:c r="N4" i="1"/>
  <x:c r="O4" i="1"/>
  <x:c r="Q4" i="1"/>
  <x:c r="R4" i="1"/>
  <x:c r="S4" i="1"/>
  <x:c r="I5" i="1"/>
  <x:c r="M5" i="1"/>
  <x:c r="N5" i="1"/>
  <x:c r="O5" i="1"/>
  <x:c r="Q5" i="1"/>
  <x:c r="R5" i="1"/>
  <x:c r="S5" i="1"/>
  <x:c r="C6" i="1"/>
  <x:c r="M6" i="1"/>
  <x:c r="N6" i="1"/>
  <x:c r="O6" i="1"/>
  <x:c r="Q6" i="1"/>
  <x:c r="R6" i="1"/>
  <x:c r="S6" i="1"/>
  <x:c r="I7" i="1"/>
  <x:c r="M7" i="1"/>
  <x:c r="N7" i="1"/>
  <x:c r="O7" i="1"/>
  <x:c r="Q7" i="1"/>
  <x:c r="R7" i="1"/>
  <x:c r="S7" i="1"/>
  <x:c r="F8" i="1"/>
  <x:c r="M8" i="1"/>
  <x:c r="N8" i="1"/>
  <x:c r="O8" i="1"/>
  <x:c r="Q8" i="1"/>
  <x:c r="R8" i="1"/>
  <x:c r="S8" i="1"/>
  <x:c r="C9" i="1"/>
  <x:c r="I9" i="1"/>
  <x:c r="M9" i="1"/>
  <x:c r="N9" i="1"/>
  <x:c r="O9" i="1"/>
  <x:c r="Q9" i="1"/>
  <x:c r="R9" i="1"/>
  <x:c r="S9" i="1"/>
  <x:c r="I10" i="1"/>
  <x:c r="M10" i="1"/>
  <x:c r="N10" i="1"/>
  <x:c r="O10" i="1"/>
  <x:c r="Q10" i="1"/>
  <x:c r="R10" i="1"/>
  <x:c r="S10" i="1"/>
  <x:c r="I11" i="1"/>
  <x:c r="M11" i="1"/>
  <x:c r="N11" i="1"/>
  <x:c r="O11" i="1"/>
  <x:c r="Q11" i="1"/>
  <x:c r="R11" i="1"/>
  <x:c r="S11" i="1"/>
  <x:c r="J12" i="1"/>
  <x:c r="M12" i="1"/>
  <x:c r="N12" i="1"/>
  <x:c r="O12" i="1"/>
  <x:c r="Q12" i="1"/>
  <x:c r="R12" i="1"/>
  <x:c r="S12" i="1"/>
  <x:c r="C13" i="1"/>
  <x:c r="M13" i="1"/>
  <x:c r="N13" i="1"/>
  <x:c r="O13" i="1"/>
  <x:c r="Q13" i="1"/>
  <x:c r="R13" i="1"/>
  <x:c r="S13" i="1"/>
  <x:c r="F14" i="1"/>
  <x:c r="I14" i="1"/>
  <x:c r="M14" i="1"/>
  <x:c r="N14" i="1"/>
  <x:c r="O14" i="1"/>
  <x:c r="Q14" i="1"/>
  <x:c r="R14" i="1"/>
  <x:c r="S14" i="1"/>
  <x:c r="M15" i="1"/>
  <x:c r="N15" i="1"/>
  <x:c r="O15" i="1"/>
  <x:c r="Q15" i="1"/>
  <x:c r="R15" i="1"/>
  <x:c r="S15" i="1"/>
  <x:c r="F16" i="1"/>
  <x:c r="M16" i="1"/>
  <x:c r="N16" i="1"/>
  <x:c r="O16" i="1"/>
  <x:c r="Q16" i="1"/>
  <x:c r="R16" i="1"/>
  <x:c r="S16" i="1"/>
  <x:c r="M17" i="1"/>
  <x:c r="N17" i="1"/>
  <x:c r="O17" i="1"/>
  <x:c r="Q17" i="1"/>
  <x:c r="R17" i="1"/>
  <x:c r="S17" i="1"/>
  <x:c r="C18" i="1"/>
  <x:c r="F18" i="1"/>
  <x:c r="I18" i="1"/>
  <x:c r="M18" i="1"/>
  <x:c r="N18" i="1"/>
  <x:c r="O18" i="1"/>
  <x:c r="Q18" i="1"/>
  <x:c r="R18" i="1"/>
  <x:c r="S18" i="1"/>
  <x:c r="M19" i="1"/>
  <x:c r="N19" i="1"/>
  <x:c r="O19" i="1"/>
  <x:c r="Q19" i="1"/>
  <x:c r="R19" i="1"/>
  <x:c r="S19" i="1"/>
  <x:c r="F20" i="1"/>
  <x:c r="M20" i="1"/>
  <x:c r="N20" i="1"/>
  <x:c r="O20" i="1"/>
  <x:c r="Q20" i="1"/>
  <x:c r="R20" i="1"/>
  <x:c r="S20" i="1"/>
  <x:c r="F21" i="1"/>
  <x:c r="M21" i="1"/>
  <x:c r="N21" i="1"/>
  <x:c r="O21" i="1"/>
  <x:c r="Q21" i="1"/>
  <x:c r="R21" i="1"/>
  <x:c r="S21" i="1"/>
  <x:c r="M22" i="1"/>
  <x:c r="N22" i="1"/>
  <x:c r="O22" i="1"/>
  <x:c r="Q22" i="1"/>
  <x:c r="R22" i="1"/>
  <x:c r="S22" i="1"/>
  <x:c r="Q23" i="1" a="1"/>
  <x:c r="Q23" i="1"/>
  <x:c r="R23" i="1" a="1"/>
  <x:c r="R23" i="1"/>
  <x:c r="S23" i="1" a="1"/>
  <x:c r="S23" i="1"/>
  <x:c r="M30" i="1" a="1"/>
  <x:c r="M30" i="1"/>
  <x:c r="Q30" i="1" a="1"/>
  <x:c r="Q30" i="1"/>
  <x:c r="B24" i="3" a="1"/>
  <x:c r="B24" i="3"/>
  <x:c r="C24" i="3" a="1"/>
  <x:c r="C24" i="3"/>
  <x:c r="D24" i="3" a="1"/>
  <x:c r="D24" i="3"/>
  <x:c r="D30" i="3" a="1"/>
  <x:c r="D30" i="3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<x:sst xmlns:x="http://schemas.openxmlformats.org/spreadsheetml/2006/main">
  <x:si>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task1</x:t>
  </x:si>
  <x:si>
    <x:t>task2</x:t>
  </x:si>
  <x:si>
    <x:t>task3</x:t>
  </x:si>
  <x:si>
    <x:t>最小TTC[s]</x:t>
  </x:si>
  <x:si>
    <x:r>
      <x:rPr>
        <x:vertAlign val="baseline"/>
        <x:sz val="11"/>
        <x:color rgb="FF000000"/>
        <x:rFont val="Calibri"/>
        <x:family val="2"/>
      </x:rPr>
      <x:t>EXP101</x:t>
    </x:r>
    <x:phoneticPr fontId="0"/>
  </x:si>
  <x:si>
    <x:t>EXP102</x:t>
  </x:si>
  <x:si>
    <x:t>EXP103</x:t>
  </x:si>
  <x:si>
    <x:t>EXP104</x:t>
  </x:si>
  <x:si>
    <x:t>EXP105</x:t>
  </x:si>
  <x:si>
    <x:t>EXP106</x:t>
  </x:si>
  <x:si>
    <x:t>EXP107</x:t>
  </x:si>
  <x:si>
    <x:t>EXP108</x:t>
  </x:si>
  <x:si>
    <x:t>EXP109</x:t>
  </x:si>
  <x:si>
    <x:t>EXP110</x:t>
  </x:si>
  <x:si>
    <x:t>EXP111</x:t>
  </x:si>
  <x:si>
    <x:t>EXP112</x:t>
  </x:si>
  <x:si>
    <x:t>EXP113</x:t>
  </x:si>
  <x:si>
    <x:t>EXP114</x:t>
  </x:si>
  <x:si>
    <x:t>EXP115</x:t>
  </x:si>
  <x:si>
    <x:t>EXP116</x:t>
  </x:si>
  <x:si>
    <x:t>EXP117</x:t>
  </x:si>
  <x:si>
    <x:t>EXP118</x:t>
  </x:si>
  <x:si>
    <x:t>EXP119</x:t>
  </x:si>
  <x:si>
    <x:t>EXP120</x:t>
  </x:si>
  <x:si>
    <x:t>Subject</x:t>
  </x:si>
  <x:si>
    <x:r>
      <x:rPr>
        <x:vertAlign val="baseline"/>
        <x:sz val="11"/>
        <x:color rgb="FF000000"/>
        <x:rFont val="Calibri"/>
        <x:family val="2"/>
      </x:rPr>
      <x:t>S-R</x:t>
    </x:r>
    <x:phoneticPr fontId="0"/>
  </x:si>
  <x:si>
    <x:r>
      <x:rPr>
        <x:vertAlign val="baseline"/>
        <x:sz val="11"/>
        <x:color rgb="FF000000"/>
        <x:rFont val="Calibri"/>
        <x:family val="2"/>
      </x:rPr>
      <x:t>T-R</x:t>
    </x:r>
    <x:phoneticPr fontId="0"/>
  </x:si>
  <x:si>
    <x:t>R</x:t>
  </x:si>
  <x:si>
    <x:t>S</x:t>
  </x:si>
  <x:si>
    <x:t>T</x:t>
  </x:si>
  <x:si>
    <x:r>
      <x:rPr>
        <x:vertAlign val="baseline"/>
        <x:sz val="11"/>
        <x:color rgb="FF000000"/>
        <x:rFont val="Calibri"/>
        <x:family val="2"/>
      </x:rPr>
      <x:t>task1</x:t>
    </x:r>
    <x:phoneticPr fontId="0"/>
  </x:si>
  <x:si>
    <x:r>
      <x:rPr>
        <x:vertAlign val="baseline"/>
        <x:sz val="11"/>
        <x:color rgb="FF000000"/>
        <x:rFont val="Calibri"/>
        <x:family val="2"/>
      </x:rPr>
      <x:t>task2</x:t>
    </x:r>
    <x:phoneticPr fontId="0"/>
  </x:si>
  <x:si>
    <x:r>
      <x:rPr>
        <x:vertAlign val="baseline"/>
        <x:sz val="11"/>
        <x:color rgb="FF000000"/>
        <x:rFont val="Calibri"/>
        <x:family val="2"/>
      </x:rPr>
      <x:t>task3</x:t>
    </x:r>
    <x:phoneticPr fontId="0"/>
  </x:si>
  <x:si>
    <x:t>EXP101</x:t>
  </x:si>
  <x:si>
    <x:r>
      <x:rPr>
        <x:vertAlign val="baseline"/>
        <x:sz val="11"/>
        <x:color rgb="FF000000"/>
        <x:rFont val="MS Gothic"/>
        <x:family val="2"/>
        <x:charset val="128"/>
      </x:rPr>
      <x:t>片方事故</x:t>
    </x:r>
    <x:rPh sb="0" eb="1">
      <x:t>カタホウ</x:t>
    </x:rPh>
    <x:phoneticPr fontId="0"/>
  </x:si>
  <x:si>
    <x:r>
      <x:rPr>
        <x:vertAlign val="baseline"/>
        <x:sz val="11"/>
        <x:color rgb="FF000000"/>
        <x:rFont val="MS Gothic"/>
        <x:family val="2"/>
        <x:charset val="128"/>
      </x:rPr>
      <x:t>片方事故</x:t>
    </x:r>
    <x:rPh sb="0" eb="4">
      <x:t>カタホウ</x:t>
    </x:rPh>
    <x:phoneticPr fontId="0"/>
  </x:si>
  <x:si>
    <x:r>
      <x:rPr>
        <x:vertAlign val="baseline"/>
        <x:sz val="11"/>
        <x:color rgb="FF000000"/>
        <x:rFont val="MS Gothic"/>
        <x:family val="2"/>
        <x:charset val="128"/>
      </x:rPr>
      <x:t>Music</x:t>
    </x:r>
    <x:phoneticPr fontId="0"/>
  </x:si>
  <x:si>
    <x:r>
      <x:rPr>
        <x:vertAlign val="baseline"/>
        <x:sz val="11"/>
        <x:color rgb="FF000000"/>
        <x:rFont val="MS Gothic"/>
        <x:family val="2"/>
        <x:charset val="128"/>
      </x:rPr>
      <x:t>Video</x:t>
    </x:r>
    <x:phoneticPr fontId="0"/>
  </x:si>
  <x:si>
    <x:r>
      <x:rPr>
        <x:vertAlign val="baseline"/>
        <x:sz val="11"/>
        <x:color rgb="FF000000"/>
        <x:rFont val="MS Gothic"/>
        <x:family val="2"/>
        <x:charset val="128"/>
      </x:rPr>
      <x:t>Game</x:t>
    </x:r>
    <x:phoneticPr fontId="0"/>
  </x:si>
  <x:si>
    <x:r>
      <x:rPr>
        <x:vertAlign val="baseline"/>
        <x:sz val="11"/>
        <x:color rgb="FF000000"/>
        <x:rFont val="Calibri"/>
        <x:family val="2"/>
      </x:rPr>
      <x:t>3.3985,3.2330,2.7330,3.0995,1.9000,3.5660,2.6995,2.3330,2.6155,2.3320,1.8000,1.4995,1.7335,2.3330,1.7325,2.5660,1.9665,1.5995,1.5665,1.2995</x:t>
    </x:r>
    <x:phoneticPr fontId="0"/>
  </x:si>
  <x:si>
    <x:r>
      <x:rPr>
        <x:vertAlign val="baseline"/>
        <x:sz val="11"/>
        <x:color rgb="FF000000"/>
        <x:rFont val="Calibri"/>
        <x:family val="2"/>
      </x:rPr>
      <x:t>p</x:t>
    </x:r>
    <x:r>
      <x:rPr>
        <x:vertAlign val="baseline"/>
        <x:sz val="11"/>
        <x:color rgb="FF000000"/>
        <x:rFont val="MS Gothic"/>
        <x:family val="2"/>
      </x:rPr>
      <x:t>値</x:t>
    </x:r>
    <x:rPh sb="1" eb="2">
      <x:t xml:space="preserve">チ </x:t>
    </x:rPh>
    <x:phoneticPr fontId="0"/>
  </x:si>
  <x:si>
    <x:r>
      <x:rPr>
        <x:vertAlign val="baseline"/>
        <x:sz val="11"/>
        <x:color rgb="FF000000"/>
        <x:rFont val="Calibri"/>
        <x:family val="2"/>
      </x:rPr>
      <x:t>3.4655,2.6995,2.7995,3.8660,2.1660,3.9990,3.0325,2.3830,2.5320,2.4320,2.2995,2.0325,2.1665,2.7325,2.0000,2.2330,1.8665,1.8330,1.9665,1.6000</x:t>
    </x:r>
    <x:phoneticPr fontId="0"/>
  </x:si>
  <x:si>
    <x:r>
      <x:rPr>
        <x:vertAlign val="baseline"/>
        <x:sz val="11"/>
        <x:color rgb="FF000000"/>
        <x:rFont val="Calibri"/>
        <x:family val="2"/>
      </x:rPr>
      <x:t>3.8320,3.0660,3.0495,4.0990,2.4995,4.9650,2.8325,2.2330,2.5325,2.5330,2.1000,2.1330,2.9320,2.4325,2.6325,3.0990,2.1325,2.2325,2.2990,1.5000</x:t>
    </x:r>
    <x:phoneticPr fontId="0"/>
  </x:si>
  <x:si>
    <x:r>
      <x:rPr>
        <x:vertAlign val="baseline"/>
        <x:sz val="11"/>
        <x:color rgb="FF000000"/>
        <x:rFont val="Calibri"/>
        <x:family val="2"/>
      </x:rPr>
      <x:t>MusicVideo</x:t>
    </x:r>
    <x:phoneticPr fontId="0"/>
  </x:si>
  <x:si>
    <x:r>
      <x:rPr>
        <x:vertAlign val="baseline"/>
        <x:sz val="11"/>
        <x:color rgb="FF000000"/>
        <x:rFont val="Calibri"/>
        <x:family val="2"/>
      </x:rPr>
      <x:t>MusicGame</x:t>
    </x:r>
    <x:phoneticPr fontId="0"/>
  </x:si>
  <x:si>
    <x:r>
      <x:rPr>
        <x:vertAlign val="baseline"/>
        <x:sz val="11"/>
        <x:color rgb="FF000000"/>
        <x:rFont val="Calibri"/>
        <x:family val="2"/>
      </x:rPr>
      <x:t>0.00785**</x:t>
    </x:r>
    <x:phoneticPr fontId="0"/>
  </x:si>
  <x:si>
    <x:r>
      <x:rPr>
        <x:vertAlign val="baseline"/>
        <x:sz val="11"/>
        <x:color rgb="FF000000"/>
        <x:rFont val="Calibri"/>
        <x:family val="2"/>
      </x:rPr>
      <x:t>0.00367**</x:t>
    </x:r>
    <x:phoneticPr fontId="0"/>
  </x:si>
  <x:si>
    <x:r>
      <x:rPr>
        <x:vertAlign val="baseline"/>
        <x:sz val="11"/>
        <x:color rgb="FF000000"/>
        <x:rFont val="Calibri"/>
        <x:family val="2"/>
      </x:rPr>
      <x:t>VideoGame</x:t>
    </x:r>
    <x:phoneticPr fontId="0"/>
  </x:si>
  <x:si>
    <x:r>
      <x:rPr>
        <x:vertAlign val="baseline"/>
        <x:sz val="11"/>
        <x:color rgb="FF000000"/>
        <x:rFont val="Calibri"/>
        <x:family val="2"/>
      </x:rPr>
      <x:t>0.000154***</x:t>
    </x:r>
    <x:phoneticPr fontId="0"/>
  </x:si>
  <x:si>
    <x:r>
      <x:rPr>
        <x:vertAlign val="baseline"/>
        <x:sz val="11"/>
        <x:color rgb="FF000000"/>
        <x:rFont val="Calibri"/>
        <x:family val="2"/>
      </x:rPr>
      <x:t>0.00976**</x:t>
    </x:r>
    <x:phoneticPr fontId="0"/>
  </x:si>
  <x:si>
    <x:r>
      <x:rPr>
        <x:vertAlign val="baseline"/>
        <x:sz val="11"/>
        <x:color rgb="FF000000"/>
        <x:rFont val="Calibri"/>
        <x:family val="2"/>
      </x:rPr>
      <x:t>0.0202*</x:t>
    </x:r>
    <x:phoneticPr fontId="0"/>
  </x:si>
  <x:si>
    <x:r>
      <x:rPr>
        <x:vertAlign val="baseline"/>
        <x:sz val="11"/>
        <x:color rgb="FF000000"/>
        <x:rFont val="Calibri"/>
        <x:family val="2"/>
      </x:rPr>
      <x:t>0.0056**</x:t>
    </x:r>
    <x:phoneticPr fontId="0"/>
  </x:si>
  <x:si>
    <x:r>
      <x:rPr>
        <x:vertAlign val="baseline"/>
        <x:sz val="11"/>
        <x:color rgb="FF000000"/>
        <x:rFont val="MS Gothic"/>
        <x:family val="2"/>
        <x:charset val="128"/>
      </x:rPr>
      <x:t>全体</x:t>
    </x:r>
    <x:rPh sb="0" eb="2">
      <x:t>ゼンタイ</x:t>
    </x:rPh>
    <x:phoneticPr fontId="0"/>
  </x:si>
  <x:si>
    <x:r>
      <x:rPr>
        <x:vertAlign val="baseline"/>
        <x:sz val="11"/>
        <x:color rgb="FF000000"/>
        <x:rFont val="Calibri"/>
        <x:family val="2"/>
      </x:rPr>
      <x:t>1.7995,1.9325,3.0325,2.0000,1.8995,1.6665,1.2995,1.4335,2.2165,1.3335,1.3665,2.6995,1.0335,1.3660,1.1330,1.9660,3.4160,3.2995,1.4995,1.3995,1.2995,1.7335,1.7165,1.5665,1.4160,1.4330,2.0665,2.1325,1.4330,2.0000,1.4665,1.6665,1.5330,1.1995,1.3995,1.6330,1.1335,1.4995,2.6325,1.4995,1.3665,1.3665,1.2330,1.2000,1.7995,1.4665,1.3660,1.5330,1.4000,1.4665,1.6660,1.1330,1.3665,2.0325,1.2330,1.4665,1.3325,1.0995,1.2000,1.2665</x:t>
    </x:r>
    <x:phoneticPr fontId="0"/>
  </x:si>
  <x:si>
    <x:t>1.43e-05 ***</x:t>
  </x:si>
  <x:si>
    <x:t>3.3985,3.2330,2.7330,3.0995,1.9000,3.5660,2.6995,2.3330,2.6155,2.3320,1.8000,1.4995,1.7335,2.3330,1.7325,2.5660,1.9665,1.5995,1.5665,1.2995,3.4655,2.6995,2.7995,3.8660,2.1660,3.9990,3.0325,2.3830,2.5320,2.4320,2.2995,2.0325,2.1665,2.7325,2.0000,2.2330,1.8665,1.8330,1.9665,1.6000,3.8320,3.0660,3.0495,4.0990,2.4995,4.9650,2.8325,2.2330,2.5325,2.5330,2.1000,2.1330,2.9320,2.4325,2.6325,3.0990,2.1325,2.2325,2.2990,1.5000</x:t>
  </x:si>
  <x:si>
    <x:r>
      <x:rPr>
        <x:vertAlign val="baseline"/>
        <x:sz val="11"/>
        <x:color rgb="FF000000"/>
        <x:rFont val="MS Gothic"/>
        <x:family val="2"/>
        <x:charset val="128"/>
      </x:rPr>
      <x:t>ステアリング操作量</x:t>
    </x:r>
    <x:phoneticPr fontId="0"/>
  </x:si>
  <x:si>
    <x:t>G合計</x:t>
  </x:si>
  <x:si>
    <x:r>
      <x:rPr>
        <x:vertAlign val="baseline"/>
        <x:sz val="11"/>
        <x:color rgb="FF000000"/>
        <x:rFont val="MS Gothic"/>
        <x:family val="2"/>
        <x:charset val="128"/>
      </x:rPr>
      <x:t>急激なステアリング操作</x:t>
    </x:r>
    <x:rPh sb="0" eb="2">
      <x:t>キュウ</x:t>
    </x:rPh>
    <x:phoneticPr fontId="0"/>
  </x:si>
  <x:si>
    <x:r>
      <x:rPr>
        <x:vertAlign val="baseline"/>
        <x:sz val="11"/>
        <x:color rgb="FF000000"/>
        <x:rFont val="Calibri"/>
        <x:family val="2"/>
      </x:rPr>
      <x:t>Music</x:t>
    </x:r>
    <x:phoneticPr fontId="0"/>
  </x:si>
  <x:si>
    <x:r>
      <x:rPr>
        <x:vertAlign val="baseline"/>
        <x:sz val="11"/>
        <x:color rgb="FF000000"/>
        <x:rFont val="Calibri"/>
        <x:family val="2"/>
      </x:rPr>
      <x:t>Video</x:t>
    </x:r>
    <x:phoneticPr fontId="0"/>
  </x:si>
  <x:si>
    <x:r>
      <x:rPr>
        <x:vertAlign val="baseline"/>
        <x:sz val="11"/>
        <x:color rgb="FF000000"/>
        <x:rFont val="Calibri"/>
        <x:family val="2"/>
      </x:rPr>
      <x:t>Game</x:t>
    </x:r>
    <x:phoneticPr fontId="0"/>
  </x:si>
  <x:si>
    <x:r>
      <x:rPr>
        <x:vertAlign val="baseline"/>
        <x:sz val="11"/>
        <x:color rgb="FF000000"/>
        <x:rFont val="Calibri"/>
        <x:family val="2"/>
      </x:rPr>
      <x:t>0.613458648,0.424933087,0.585809592,0.363309626,0.755695489,0.374746232,0.392637375,0.600740105,0.654596861,0.679995599,0.739932654,0.627519568,0.443426856,0.594170933,0.732784185,0.733691903,0.591905264,0.814641028,0.586480597,0.633516463</x:t>
    </x:r>
    <x:phoneticPr fontId="0"/>
  </x:si>
  <x:si>
    <x:r>
      <x:rPr>
        <x:vertAlign val="baseline"/>
        <x:sz val="11"/>
        <x:color rgb="FF000000"/>
        <x:rFont val="Calibri"/>
        <x:family val="2"/>
      </x:rPr>
      <x:t>0.584634066,0.560982602,0.492584552,0.309384192,0.680414900,0.141390385,0.499412643,0.652117046,0.665965286,0.803121210,0.662645814,0.723537348,0.390073887,0.622323937,0.709048657,0.867651063,0.583764399,0.708484348,0.953727153,0.606874321</x:t>
    </x:r>
    <x:phoneticPr fontId="0"/>
  </x:si>
  <x:si>
    <x:r>
      <x:rPr>
        <x:vertAlign val="baseline"/>
        <x:sz val="11"/>
        <x:color rgb="FF000000"/>
        <x:rFont val="Calibri"/>
        <x:family val="2"/>
      </x:rPr>
      <x:t>0.328313355,0.456023451,0.359082413,0.067773074,0.703967213,0.066299562,0.335621952,0.745913957,0.688174342,0.702410970,0.599053543,0.508232040,0.201769885,0.716755232,0.606370453,0.903074593,0.499908263,0.629380894,0.671862222,0.728008014</x:t>
    </x:r>
    <x:phoneticPr fontId="0"/>
  </x:si>
  <x:si>
    <x:r>
      <x:rPr>
        <x:vertAlign val="baseline"/>
        <x:sz val="11"/>
        <x:color rgb="FF000000"/>
        <x:rFont val="Calibri"/>
        <x:family val="2"/>
      </x:rPr>
      <x:t>0.0531+</x:t>
    </x:r>
    <x:phoneticPr fontId="0"/>
  </x:si>
  <x:si>
    <x:t>0.613458648,0.584634066,0.328313355,0.424933087,0.560982602,0.456023451,0.585809592,0.492584552,0.359082413,0.363309626,0.309384192,0.067773074,0.755695489,0.680414900,0.703967213,0.374746232,0.141390385,0.066299562,0.392637375,0.499412643,0.335621952,0.600740105,0.652117046,0.745913957,0.654596861,0.665965286,0.688174342,0.679995599,0.803121210,0.702410970,0.739932654,0.662645814,0.599053543,0.627519568,0.723537348,0.508232040,0.443426856,0.390073887,0.201769885,0.594170933,0.622323937,0.716755232,0.732784185,0.709048657,0.606370453,0.733691903,0.867651063,0.903074593,0.591905264,0.583764399,0.499908263,0.814641028,0.708484348,0.629380894,0.586480597,0.953727153,0.671862222,0.633516463,0.606874321,0.728008014</x:t>
  </x:si>
  <x:si>
    <x:r>
      <x:rPr>
        <x:vertAlign val="baseline"/>
        <x:sz val="11"/>
        <x:color rgb="FF000000"/>
        <x:rFont val="Calibri"/>
        <x:family val="2"/>
      </x:rPr>
      <x:t>0.00515**</x:t>
    </x:r>
    <x:phoneticPr fontId="0"/>
  </x:si>
  <x:si>
    <x:r>
      <x:rPr>
        <x:vertAlign val="baseline"/>
        <x:sz val="11"/>
        <x:color rgb="FF000000"/>
        <x:rFont val="Calibri"/>
        <x:family val="2"/>
      </x:rPr>
      <x:t>2.3e-05 ***</x:t>
    </x:r>
    <x:phoneticPr fontId="0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</x:si>
</x:sst>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>
    <x:font>
      <x:sz val="11"/>
      <x:color rgb="FF000000"/>
      <x:name val="Calibri"/>
      <x:family val="2"/>
    </x:font>
    <x:font>
      <x:sz val="6"/>
      <x:name val="Tsukushi A Round Gothic Bold"/>
      <x:family val="3"/>
      <x:charset val="128"/>
    </x:font>
    <x:font>
      <x:sz val="11"/>
      <x:color rgb="FF000000"/>
      <x:name val="MS Gothic"/>
      <x:family val="2"/>
      <x:charset val="128"/>
    </x:font>
    <x:font>
      <x:sz val="11"/>
      <x:color rgb="FF000000"/>
      <x:name val="MS Gothic"/>
      <x:family val="2"/>
    </x:font>
    <x:font>
      <x:sz val="10"/>
      <x:color rgb="FF000000"/>
      <x:name val="Hiragino Kaku Gothic ProN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6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 applyBorder="0"/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0" fontId="0" fillId="0" borderId="0" xfId="0"/>
    <x:xf numFmtId="0" fontId="0" fillId="2" borderId="0" xfId="0" applyFill="1"/>
    <x:xf numFmtId="0" fontId="2" fillId="0" borderId="0" xfId="0" applyFont="1"/>
    <x:xf numFmtId="0" fontId="0" fillId="3" borderId="0" xfId="0" applyFill="1"/>
    <x:xf numFmtId="0" fontId="4" fillId="0" borderId="0" xfId="0" applyFont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421043-5F1B-A441-95F8-4831F2762466}" mc:Ignorable="x14ac xr xr2 xr3">
  <x:sheetPr>
    <x:outlinePr summaryBelow="1" summaryRight="1"/>
  </x:sheetPr>
  <x:dimension ref="A1:D24"/>
  <x:sheetViews>
    <x:sheetView tabSelected="1" workbookViewId="0">
      <x:selection activeCell="D24" sqref="D24"/>
    </x:sheetView>
  </x:sheetViews>
  <x:sheetFormatPr baseColWidth="10" defaultColWidth="16.710625" defaultRowHeight="15"/>
  <x:sheetData>
    <x:row r="1" spans="1:4">
      <x:c r="B1" s="0" t="s">
        <x:v>0</x:v>
      </x:c>
      <x:c r="C1" s="0" t="s">
        <x:v>1</x:v>
      </x:c>
      <x:c r="D1" s="0" t="s">
        <x:v>2</x:v>
      </x:c>
    </x:row>
    <x:row r="2" spans="1:4">
      <x:c r="B2" s="0" t="s">
        <x:v>3</x:v>
      </x:c>
      <x:c r="C2" s="0" t="s">
        <x:v>3</x:v>
      </x:c>
      <x:c r="D2" s="0" t="s">
        <x:v>3</x:v>
      </x:c>
    </x:row>
    <x:row r="3" spans="1:4">
      <x:c r="A3" s="0" t="s">
        <x:v>4</x:v>
      </x:c>
      <x:c r="B3" s="0">
        <x:v>3.60589363920593</x:v>
      </x:c>
      <x:c r="C3" s="0">
        <x:v>3.48976849871915</x:v>
      </x:c>
      <x:c r="D3" s="0">
        <x:v>3.17452600414703</x:v>
      </x:c>
    </x:row>
    <x:row r="4" spans="1:4">
      <x:c r="A4" s="0" t="s">
        <x:v>5</x:v>
      </x:c>
      <x:c r="B4" s="0">
        <x:v>3.77897443991652</x:v>
      </x:c>
      <x:c r="C4" s="0">
        <x:v>4.00422987822857</x:v>
      </x:c>
      <x:c r="D4" s="0">
        <x:v>3.76837937986116</x:v>
      </x:c>
    </x:row>
    <x:row r="5" spans="1:4">
      <x:c r="A5" s="0" t="s">
        <x:v>6</x:v>
      </x:c>
      <x:c r="B5" s="0">
        <x:v>4.19424293829399</x:v>
      </x:c>
      <x:c r="C5" s="0">
        <x:v>4.14706647363278</x:v>
      </x:c>
      <x:c r="D5" s="0">
        <x:v>3.6031229857054</x:v>
      </x:c>
    </x:row>
    <x:row r="6" spans="1:4">
      <x:c r="A6" s="0" t="s">
        <x:v>7</x:v>
      </x:c>
      <x:c r="B6" s="0">
        <x:v>2.66107062817144</x:v>
      </x:c>
      <x:c r="C6" s="0">
        <x:v>2.65666154385066</x:v>
      </x:c>
      <x:c r="D6" s="0">
        <x:v>2.17535364611019</x:v>
      </x:c>
    </x:row>
    <x:row r="7" spans="1:4">
      <x:c r="A7" s="0" t="s">
        <x:v>8</x:v>
      </x:c>
      <x:c r="B7" s="0">
        <x:v>5.01210395132789</x:v>
      </x:c>
      <x:c r="C7" s="0">
        <x:v>4.75682550672465</x:v>
      </x:c>
      <x:c r="D7" s="0">
        <x:v>4.45050104362544</x:v>
      </x:c>
    </x:row>
    <x:row r="8" spans="1:4">
      <x:c r="A8" s="0" t="s">
        <x:v>9</x:v>
      </x:c>
      <x:c r="B8" s="0">
        <x:v>3.49172711795527</x:v>
      </x:c>
      <x:c r="C8" s="0">
        <x:v>2.62726456198227</x:v>
      </x:c>
      <x:c r="D8" s="0">
        <x:v>2.0956889861628</x:v>
      </x:c>
    </x:row>
    <x:row r="9" spans="1:4">
      <x:c r="A9" s="0" t="s">
        <x:v>10</x:v>
      </x:c>
      <x:c r="B9" s="0">
        <x:v>2.25092070514344</x:v>
      </x:c>
      <x:c r="C9" s="0">
        <x:v>3.36981155487892</x:v>
      </x:c>
      <x:c r="D9" s="0">
        <x:v>3.52639454916286</x:v>
      </x:c>
    </x:row>
    <x:row r="10" spans="1:4">
      <x:c r="A10" s="0" t="s">
        <x:v>11</x:v>
      </x:c>
      <x:c r="B10" s="0">
        <x:v>4.61715446296014</x:v>
      </x:c>
      <x:c r="C10" s="0">
        <x:v>4.54523873404824</x:v>
      </x:c>
      <x:c r="D10" s="0">
        <x:v>4.70053182925592</x:v>
      </x:c>
    </x:row>
    <x:row r="11" spans="1:4">
      <x:c r="A11" s="0" t="s">
        <x:v>12</x:v>
      </x:c>
      <x:c r="B11" s="0">
        <x:v>4.36008917511279</x:v>
      </x:c>
      <x:c r="C11" s="0">
        <x:v>4.41102081288579</x:v>
      </x:c>
      <x:c r="D11" s="0">
        <x:v>4.44016251433043</x:v>
      </x:c>
    </x:row>
    <x:row r="12" spans="1:4">
      <x:c r="A12" s="0" t="s">
        <x:v>13</x:v>
      </x:c>
      <x:c r="B12" s="0">
        <x:v>4.06330417066623</x:v>
      </x:c>
      <x:c r="C12" s="0">
        <x:v>4.54413379966797</x:v>
      </x:c>
      <x:c r="D12" s="0">
        <x:v>4.43363303508003</x:v>
      </x:c>
    </x:row>
    <x:row r="13" spans="1:4">
      <x:c r="A13" s="0" t="s">
        <x:v>14</x:v>
      </x:c>
      <x:c r="B13" s="0">
        <x:v>5.09327050854015</x:v>
      </x:c>
      <x:c r="C13" s="0">
        <x:v>4.64740463668605</x:v>
      </x:c>
      <x:c r="D13" s="0">
        <x:v>4.8254745567556</x:v>
      </x:c>
    </x:row>
    <x:row r="14" spans="1:4">
      <x:c r="A14" s="0" t="s">
        <x:v>15</x:v>
      </x:c>
      <x:c r="B14" s="0">
        <x:v>5.324333111941</x:v>
      </x:c>
      <x:c r="C14" s="0">
        <x:v>4.7045673913964</x:v>
      </x:c>
      <x:c r="D14" s="0">
        <x:v>4.80571210210565</x:v>
      </x:c>
    </x:row>
    <x:row r="15" spans="1:4">
      <x:c r="A15" s="0" t="s">
        <x:v>16</x:v>
      </x:c>
      <x:c r="B15" s="0">
        <x:v>2.18643865533683</x:v>
      </x:c>
      <x:c r="C15" s="0">
        <x:v>2.5051701926133</x:v>
      </x:c>
      <x:c r="D15" s="0">
        <x:v>2.87857293873946</x:v>
      </x:c>
    </x:row>
    <x:row r="16" spans="1:4">
      <x:c r="A16" s="0" t="s">
        <x:v>17</x:v>
      </x:c>
      <x:c r="B16" s="0">
        <x:v>4.61715283217606</x:v>
      </x:c>
      <x:c r="C16" s="0">
        <x:v>4.2165584440336</x:v>
      </x:c>
      <x:c r="D16" s="0">
        <x:v>4.51270621834823</x:v>
      </x:c>
    </x:row>
    <x:row r="17" spans="1:4">
      <x:c r="A17" s="0" t="s">
        <x:v>18</x:v>
      </x:c>
      <x:c r="B17" s="0">
        <x:v>5.15014201852942</x:v>
      </x:c>
      <x:c r="C17" s="0">
        <x:v>4.91595135350281</x:v>
      </x:c>
      <x:c r="D17" s="0">
        <x:v>3.50081185665905</x:v>
      </x:c>
    </x:row>
    <x:row r="18" spans="1:4">
      <x:c r="A18" s="0" t="s">
        <x:v>19</x:v>
      </x:c>
      <x:c r="B18" s="0">
        <x:v>3.92949150591902</x:v>
      </x:c>
      <x:c r="C18" s="0">
        <x:v>4.2232494058875</x:v>
      </x:c>
      <x:c r="D18" s="0">
        <x:v>3.91787772944435</x:v>
      </x:c>
    </x:row>
    <x:row r="19" spans="1:4">
      <x:c r="A19" s="0" t="s">
        <x:v>20</x:v>
      </x:c>
      <x:c r="B19" s="0">
        <x:v>4.79428990755017</x:v>
      </x:c>
      <x:c r="C19" s="0">
        <x:v>4.84027211339157</x:v>
      </x:c>
      <x:c r="D19" s="0">
        <x:v>4.32461076808189</x:v>
      </x:c>
    </x:row>
    <x:row r="20" spans="1:4">
      <x:c r="A20" s="0" t="s">
        <x:v>21</x:v>
      </x:c>
      <x:c r="B20" s="0">
        <x:v>5.27265226388149</x:v>
      </x:c>
      <x:c r="C20" s="0">
        <x:v>5.04836446377589</x:v>
      </x:c>
      <x:c r="D20" s="0">
        <x:v>4.74358267845792</x:v>
      </x:c>
    </x:row>
    <x:row r="21" spans="1:4">
      <x:c r="A21" s="0" t="s">
        <x:v>22</x:v>
      </x:c>
      <x:c r="B21" s="0">
        <x:v>2.37069988866426</x:v>
      </x:c>
      <x:c r="C21" s="0">
        <x:v>3.43467476285351</x:v>
      </x:c>
      <x:c r="D21" s="0">
        <x:v>4.64774295208787</x:v>
      </x:c>
    </x:row>
    <x:row r="22" spans="1:4">
      <x:c r="A22" s="0" t="s">
        <x:v>23</x:v>
      </x:c>
      <x:c r="B22" s="0">
        <x:v>5.35646195741009</x:v>
      </x:c>
      <x:c r="C22" s="0">
        <x:v>5.25589624258875</x:v>
      </x:c>
      <x:c r="D22" s="0">
        <x:v>5.32096089362474</x:v>
      </x:c>
    </x:row>
    <x:row r="24" spans="1:4">
      <x:c r="B24" s="0" cm="1">
        <x:f t="array" ref="B24:B24">_xlfn.TEXTJOIN(",",TRUE,TEXT(B3:B22,"0.000000000"))</x:f>
      </x:c>
      <x:c r="C24" s="0" cm="1">
        <x:f t="array" ref="C24:C24">_xlfn.TEXTJOIN(",",TRUE,TEXT(C3:C22,"0.000000000"))</x:f>
      </x:c>
      <x:c r="D24" s="0" cm="1">
        <x:f t="array" ref="D24:D24">_xlfn.TEXTJOIN(",",TRUE,TEXT(D3:D22,"0.000000000"))</x:f>
      </x:c>
    </x:row>
  </x:sheetData>
  <x:phoneticPr fontId="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31"/>
  <x:sheetViews>
    <x:sheetView topLeftCell="J1" zoomScale="99" zoomScaleNormal="99" workbookViewId="0">
      <x:selection activeCell="M30" sqref="M30"/>
    </x:sheetView>
  </x:sheetViews>
  <x:sheetFormatPr baseColWidth="10" defaultColWidth="14.335625" defaultRowHeight="15"/>
  <x:cols>
    <x:col min="1" max="1" width="9.164062" style="0" customWidth="1"/>
    <x:col min="2" max="2" width="8" style="0" customWidth="1"/>
    <x:col min="3" max="4" width="9" style="0" customWidth="1"/>
  </x:cols>
  <x:sheetData>
    <x:row r="1" spans="1:19">
      <x:c r="A1" s="0" t="s">
        <x:v>24</x:v>
      </x:c>
      <x:c r="B1" s="0" t="s">
        <x:v>0</x:v>
      </x:c>
      <x:c r="E1" s="0" t="s">
        <x:v>1</x:v>
      </x:c>
      <x:c r="H1" s="0" t="s">
        <x:v>2</x:v>
      </x:c>
      <x:c r="M1" s="0" t="s">
        <x:v>25</x:v>
      </x:c>
      <x:c r="Q1" s="0" t="s">
        <x:v>26</x:v>
      </x:c>
    </x:row>
    <x:row r="2" spans="1:19">
      <x:c r="B2" s="0" t="s">
        <x:v>27</x:v>
      </x:c>
      <x:c r="C2" s="0" t="s">
        <x:v>28</x:v>
      </x:c>
      <x:c r="D2" s="0" t="s">
        <x:v>29</x:v>
      </x:c>
      <x:c r="E2" s="0" t="s">
        <x:v>27</x:v>
      </x:c>
      <x:c r="F2" s="0" t="s">
        <x:v>28</x:v>
      </x:c>
      <x:c r="G2" s="0" t="s">
        <x:v>29</x:v>
      </x:c>
      <x:c r="H2" s="0" t="s">
        <x:v>27</x:v>
      </x:c>
      <x:c r="I2" s="0" t="s">
        <x:v>28</x:v>
      </x:c>
      <x:c r="J2" s="0" t="s">
        <x:v>29</x:v>
      </x:c>
      <x:c r="M2" s="0" t="s">
        <x:v>30</x:v>
      </x:c>
      <x:c r="N2" s="0" t="s">
        <x:v>31</x:v>
      </x:c>
      <x:c r="O2" s="0" t="s">
        <x:v>32</x:v>
      </x:c>
      <x:c r="Q2" s="0" t="s">
        <x:v>30</x:v>
      </x:c>
      <x:c r="R2" s="0" t="s">
        <x:v>31</x:v>
      </x:c>
      <x:c r="S2" s="0" t="s">
        <x:v>32</x:v>
      </x:c>
    </x:row>
    <x:row r="3" spans="1:19">
      <x:c r="A3" s="0" t="s">
        <x:v>33</x:v>
      </x:c>
      <x:c r="B3" s="0">
        <x:v>587.445</x:v>
      </x:c>
      <x:c r="C3" s="6">
        <x:v>589.2445</x:v>
      </x:c>
      <x:c r="D3" s="6">
        <x:v>590.8435</x:v>
      </x:c>
      <x:c r="E3" s="0">
        <x:v>579.9635</x:v>
      </x:c>
      <x:c r="F3" s="0">
        <x:v>581.896</x:v>
      </x:c>
      <x:c r="G3" s="0">
        <x:v>583.429</x:v>
      </x:c>
      <x:c r="H3" s="0">
        <x:v>599.2255</x:v>
      </x:c>
      <x:c r="I3" s="0">
        <x:v>602.258</x:v>
      </x:c>
      <x:c r="J3" s="0">
        <x:v>603.0575</x:v>
      </x:c>
      <x:c r="L3" s="7" t="s">
        <x:v>4</x:v>
      </x:c>
      <x:c r="M3" s="0">
        <x:f>C3-B3</x:f>
      </x:c>
      <x:c r="N3" s="0">
        <x:f>F3-E3</x:f>
      </x:c>
      <x:c r="O3" s="0">
        <x:f>I3-H3</x:f>
      </x:c>
      <x:c r="Q3" s="0">
        <x:f>D3-B3</x:f>
      </x:c>
      <x:c r="R3" s="0">
        <x:f>G3-E3</x:f>
      </x:c>
      <x:c r="S3" s="0">
        <x:f>J3-H3</x:f>
      </x:c>
    </x:row>
    <x:row r="4" spans="1:19">
      <x:c r="A4" s="0" t="s">
        <x:v>5</x:v>
      </x:c>
      <x:c r="B4" s="0">
        <x:v>527.5755</x:v>
      </x:c>
      <x:c r="C4" s="0">
        <x:v>529.5755</x:v>
      </x:c>
      <x:c r="D4" s="0">
        <x:v>530.8085</x:v>
      </x:c>
      <x:c r="E4" s="0">
        <x:v>511.8465</x:v>
      </x:c>
      <x:c r="F4" s="0">
        <x:f>(513.263+514.229)/2</x:f>
      </x:c>
      <x:c r="G4" s="0">
        <x:v>514.546</x:v>
      </x:c>
      <x:c r="H4" s="0">
        <x:v>527.959</x:v>
      </x:c>
      <x:c r="I4" s="0">
        <x:v>529.6255</x:v>
      </x:c>
      <x:c r="J4" s="0">
        <x:v>531.025</x:v>
      </x:c>
      <x:c r="L4" s="7" t="s">
        <x:v>5</x:v>
      </x:c>
      <x:c r="M4" s="0">
        <x:f>C4-B4</x:f>
      </x:c>
      <x:c r="N4" s="0">
        <x:f>F4-E4</x:f>
      </x:c>
      <x:c r="O4" s="0">
        <x:f>I4-H4</x:f>
      </x:c>
      <x:c r="Q4" s="0">
        <x:f>D4-B4</x:f>
      </x:c>
      <x:c r="R4" s="0">
        <x:f>G4-E4</x:f>
      </x:c>
      <x:c r="S4" s="0">
        <x:f>J4-H4</x:f>
      </x:c>
    </x:row>
    <x:row r="5" spans="1:19">
      <x:c r="A5" s="0" t="s">
        <x:v>6</x:v>
      </x:c>
      <x:c r="B5" s="0">
        <x:v>519.3945</x:v>
      </x:c>
      <x:c r="C5" s="0">
        <x:v>520.694</x:v>
      </x:c>
      <x:c r="D5" s="0">
        <x:v>522.1275</x:v>
      </x:c>
      <x:c r="E5" s="0">
        <x:v>487.5855</x:v>
      </x:c>
      <x:c r="F5" s="0">
        <x:v>489.019</x:v>
      </x:c>
      <x:c r="G5" s="0">
        <x:v>490.385</x:v>
      </x:c>
      <x:c r="H5" s="0">
        <x:v>555.219</x:v>
      </x:c>
      <x:c r="I5" s="0">
        <x:f>(569.549+545.322)/2</x:f>
      </x:c>
      <x:c r="J5" s="0">
        <x:v>558.2685</x:v>
      </x:c>
      <x:c r="L5" s="7" t="s">
        <x:v>6</x:v>
      </x:c>
      <x:c r="M5" s="0">
        <x:f>C5-B5</x:f>
      </x:c>
      <x:c r="N5" s="0">
        <x:f>F5-E5</x:f>
      </x:c>
      <x:c r="O5" s="0">
        <x:f>I5-H5</x:f>
      </x:c>
      <x:c r="Q5" s="0">
        <x:f>D5-B5</x:f>
      </x:c>
      <x:c r="R5" s="0">
        <x:f>G5-E5</x:f>
      </x:c>
      <x:c r="S5" s="0">
        <x:f>J5-H5</x:f>
      </x:c>
    </x:row>
    <x:row r="6" spans="1:19">
      <x:c r="A6" s="0" t="s">
        <x:v>7</x:v>
      </x:c>
      <x:c r="B6" s="0">
        <x:v>598.8915</x:v>
      </x:c>
      <x:c r="C6" s="0">
        <x:f>(600.175+600.275)/2</x:f>
      </x:c>
      <x:c r="D6" s="0">
        <x:v>601.991</x:v>
      </x:c>
      <x:c r="E6" s="0">
        <x:v>590.927</x:v>
      </x:c>
      <x:c r="F6" s="0">
        <x:v>592.2935</x:v>
      </x:c>
      <x:c r="G6" s="0">
        <x:v>594.793</x:v>
      </x:c>
      <x:c r="H6" s="0">
        <x:v>606.8565</x:v>
      </x:c>
      <x:c r="I6" s="0">
        <x:v>609.556</x:v>
      </x:c>
      <x:c r="J6" s="0">
        <x:v>610.9555</x:v>
      </x:c>
      <x:c r="L6" s="7" t="s">
        <x:v>7</x:v>
      </x:c>
      <x:c r="M6" s="0">
        <x:f>C6-B6</x:f>
      </x:c>
      <x:c r="N6" s="0">
        <x:f>F6-E6</x:f>
      </x:c>
      <x:c r="O6" s="0">
        <x:f>I6-H6</x:f>
      </x:c>
      <x:c r="Q6" s="0">
        <x:f>D6-B6</x:f>
      </x:c>
      <x:c r="R6" s="0">
        <x:f>G6-E6</x:f>
      </x:c>
      <x:c r="S6" s="0">
        <x:f>J6-H6</x:f>
      </x:c>
    </x:row>
    <x:row r="7" spans="1:19">
      <x:c r="A7" s="0" t="s">
        <x:v>8</x:v>
      </x:c>
      <x:c r="B7" s="0">
        <x:v>571.115</x:v>
      </x:c>
      <x:c r="C7" s="0">
        <x:v>572.1485</x:v>
      </x:c>
      <x:c r="D7" s="0">
        <x:v>573.015</x:v>
      </x:c>
      <x:c r="E7" s="0">
        <x:v>559.235</x:v>
      </x:c>
      <x:c r="F7" s="0">
        <x:v>560.601</x:v>
      </x:c>
      <x:c r="G7" s="0">
        <x:v>561.401</x:v>
      </x:c>
      <x:c r="H7" s="0">
        <x:v>583.129</x:v>
      </x:c>
      <x:c r="I7" s="0">
        <x:f>(584.179+584.345)/2</x:f>
      </x:c>
      <x:c r="J7" s="0">
        <x:v>585.6285</x:v>
      </x:c>
      <x:c r="L7" s="7" t="s">
        <x:v>8</x:v>
      </x:c>
      <x:c r="M7" s="0">
        <x:f>C7-B7</x:f>
      </x:c>
      <x:c r="N7" s="0">
        <x:f>F7-E7</x:f>
      </x:c>
      <x:c r="O7" s="0">
        <x:f>I7-H7</x:f>
      </x:c>
      <x:c r="Q7" s="0">
        <x:f>D7-B7</x:f>
      </x:c>
      <x:c r="R7" s="0">
        <x:f>G7-E7</x:f>
      </x:c>
      <x:c r="S7" s="0">
        <x:f>J7-H7</x:f>
      </x:c>
    </x:row>
    <x:row r="8" spans="1:19">
      <x:c r="A8" s="0" t="s">
        <x:v>9</x:v>
      </x:c>
      <x:c r="B8" s="0">
        <x:v>520.061</x:v>
      </x:c>
      <x:c r="C8" s="0">
        <x:v>522.027</x:v>
      </x:c>
      <x:c r="D8" s="0">
        <x:v>523.627</x:v>
      </x:c>
      <x:c r="E8" s="0">
        <x:v>537.5235</x:v>
      </x:c>
      <x:c r="F8" s="0">
        <x:f>(533.458+548.421)/2</x:f>
      </x:c>
      <x:c r="G8" s="3" t="s">
        <x:v>35</x:v>
      </x:c>
      <x:c r="H8" s="0">
        <x:v>556.8355</x:v>
      </x:c>
      <x:c r="I8" s="0">
        <x:v>560.135</x:v>
      </x:c>
      <x:c r="J8" s="3" t="s">
        <x:v>35</x:v>
      </x:c>
      <x:c r="L8" s="7" t="s">
        <x:v>9</x:v>
      </x:c>
      <x:c r="M8" s="0">
        <x:f>C8-B8</x:f>
      </x:c>
      <x:c r="N8" s="0">
        <x:f>F8-E8</x:f>
      </x:c>
      <x:c r="O8" s="0">
        <x:f>I8-H8</x:f>
      </x:c>
      <x:c r="Q8" s="0">
        <x:f>D8-B8</x:f>
      </x:c>
      <x:c r="R8" s="0">
        <x:f>550.154-546.155</x:f>
      </x:c>
      <x:c r="S8" s="0">
        <x:f>518.628-513.663</x:f>
      </x:c>
    </x:row>
    <x:row r="9" spans="1:19">
      <x:c r="A9" s="0" t="s">
        <x:v>10</x:v>
      </x:c>
      <x:c r="B9" s="0">
        <x:v>544.505</x:v>
      </x:c>
      <x:c r="C9" s="0">
        <x:f>(562.817+529.192)/2</x:f>
      </x:c>
      <x:c r="D9" s="0">
        <x:v>547.2045</x:v>
      </x:c>
      <x:c r="E9" s="0">
        <x:v>543.6555</x:v>
      </x:c>
      <x:c r="F9" s="0">
        <x:v>545.055</x:v>
      </x:c>
      <x:c r="G9" s="0">
        <x:v>546.688</x:v>
      </x:c>
      <x:c r="H9" s="0">
        <x:v>519.5945</x:v>
      </x:c>
      <x:c r="I9" s="0">
        <x:f>(544.955+496.833)/2</x:f>
      </x:c>
      <x:c r="J9" s="0">
        <x:v>522.427</x:v>
      </x:c>
      <x:c r="L9" s="7" t="s">
        <x:v>10</x:v>
      </x:c>
      <x:c r="M9" s="0">
        <x:f>C9-B9</x:f>
      </x:c>
      <x:c r="N9" s="0">
        <x:f>F9-E9</x:f>
      </x:c>
      <x:c r="O9" s="0">
        <x:f>I9-H9</x:f>
      </x:c>
      <x:c r="Q9" s="0">
        <x:f>D9-B9</x:f>
      </x:c>
      <x:c r="R9" s="0">
        <x:f>G9-E9</x:f>
      </x:c>
      <x:c r="S9" s="0">
        <x:f>J9-H9</x:f>
      </x:c>
    </x:row>
    <x:row r="10" spans="1:19">
      <x:c r="A10" s="0" t="s">
        <x:v>11</x:v>
      </x:c>
      <x:c r="B10" s="0">
        <x:v>535.507</x:v>
      </x:c>
      <x:c r="C10" s="0">
        <x:v>537.2405</x:v>
      </x:c>
      <x:c r="D10" s="0">
        <x:v>537.84</x:v>
      </x:c>
      <x:c r="E10" s="0">
        <x:v>535.3905</x:v>
      </x:c>
      <x:c r="F10" s="0">
        <x:v>537.107</x:v>
      </x:c>
      <x:c r="G10" s="0">
        <x:v>537.7735</x:v>
      </x:c>
      <x:c r="H10" s="0">
        <x:v>539.3895</x:v>
      </x:c>
      <x:c r="I10" s="0">
        <x:f>(568.916+512.996)/2</x:f>
      </x:c>
      <x:c r="J10" s="0">
        <x:v>541.6225</x:v>
      </x:c>
      <x:c r="L10" s="7" t="s">
        <x:v>11</x:v>
      </x:c>
      <x:c r="M10" s="0">
        <x:f>C10-B10</x:f>
      </x:c>
      <x:c r="N10" s="0">
        <x:f>F10-E10</x:f>
      </x:c>
      <x:c r="O10" s="0">
        <x:f>I10-H10</x:f>
      </x:c>
      <x:c r="Q10" s="0">
        <x:f>D10-B10</x:f>
      </x:c>
      <x:c r="R10" s="0">
        <x:f>G10-E10</x:f>
      </x:c>
      <x:c r="S10" s="0">
        <x:f>J10-H10</x:f>
      </x:c>
    </x:row>
    <x:row r="11" spans="1:19">
      <x:c r="A11" s="0" t="s">
        <x:v>12</x:v>
      </x:c>
      <x:c r="B11" s="0">
        <x:v>527.343</x:v>
      </x:c>
      <x:c r="C11" s="0">
        <x:v>528.759</x:v>
      </x:c>
      <x:c r="D11" s="0">
        <x:v>529.9585</x:v>
      </x:c>
      <x:c r="E11" s="0">
        <x:v>535.8075</x:v>
      </x:c>
      <x:c r="F11" s="0">
        <x:v>537.2405</x:v>
      </x:c>
      <x:c r="G11" s="0">
        <x:v>538.3395</x:v>
      </x:c>
      <x:c r="H11" s="0">
        <x:v>519.4945</x:v>
      </x:c>
      <x:c r="I11" s="0">
        <x:f>(545.522+497.6)/2</x:f>
      </x:c>
      <x:c r="J11" s="0">
        <x:v>522.027</x:v>
      </x:c>
      <x:c r="L11" s="7" t="s">
        <x:v>12</x:v>
      </x:c>
      <x:c r="M11" s="0">
        <x:f>C11-B11</x:f>
      </x:c>
      <x:c r="N11" s="0">
        <x:f>F11-E11</x:f>
      </x:c>
      <x:c r="O11" s="0">
        <x:f>I11-H11</x:f>
      </x:c>
      <x:c r="Q11" s="0">
        <x:f>D11-B11</x:f>
      </x:c>
      <x:c r="R11" s="0">
        <x:f>G11-E11</x:f>
      </x:c>
      <x:c r="S11" s="0">
        <x:f>J11-H11</x:f>
      </x:c>
    </x:row>
    <x:row r="12" spans="1:19">
      <x:c r="A12" s="0" t="s">
        <x:v>13</x:v>
      </x:c>
      <x:c r="B12" s="0">
        <x:v>521.2445</x:v>
      </x:c>
      <x:c r="C12" s="0">
        <x:v>523.377</x:v>
      </x:c>
      <x:c r="D12" s="0">
        <x:v>523.5765</x:v>
      </x:c>
      <x:c r="E12" s="0">
        <x:v>514.4795</x:v>
      </x:c>
      <x:c r="F12" s="0">
        <x:v>515.9125</x:v>
      </x:c>
      <x:c r="G12" s="0">
        <x:v>516.9115</x:v>
      </x:c>
      <x:c r="H12" s="0">
        <x:v>529.092</x:v>
      </x:c>
      <x:c r="I12" s="0">
        <x:v>531.092</x:v>
      </x:c>
      <x:c r="J12" s="0">
        <x:f>(547.288+515.962)/2</x:f>
      </x:c>
      <x:c r="L12" s="7" t="s">
        <x:v>13</x:v>
      </x:c>
      <x:c r="M12" s="0">
        <x:f>C12-B12</x:f>
      </x:c>
      <x:c r="N12" s="0">
        <x:f>F12-E12</x:f>
      </x:c>
      <x:c r="O12" s="0">
        <x:f>I12-H12</x:f>
      </x:c>
      <x:c r="Q12" s="0">
        <x:f>D12-B12</x:f>
      </x:c>
      <x:c r="R12" s="0">
        <x:f>G12-E12</x:f>
      </x:c>
      <x:c r="S12" s="0">
        <x:f>J12-H12</x:f>
      </x:c>
    </x:row>
    <x:row r="13" spans="1:19">
      <x:c r="A13" s="0" t="s">
        <x:v>14</x:v>
      </x:c>
      <x:c r="B13" s="0">
        <x:v>543.422</x:v>
      </x:c>
      <x:c r="C13" s="0">
        <x:f>(544.822+544.955)/2</x:f>
      </x:c>
      <x:c r="D13" s="0">
        <x:v>545.222</x:v>
      </x:c>
      <x:c r="E13" s="0">
        <x:v>527.509</x:v>
      </x:c>
      <x:c r="F13" s="0">
        <x:v>529.1755</x:v>
      </x:c>
      <x:c r="G13" s="0">
        <x:v>529.8085</x:v>
      </x:c>
      <x:c r="H13" s="0">
        <x:v>513.1125</x:v>
      </x:c>
      <x:c r="I13" s="0">
        <x:v>514.6455</x:v>
      </x:c>
      <x:c r="J13" s="0">
        <x:v>515.2125</x:v>
      </x:c>
      <x:c r="L13" s="7" t="s">
        <x:v>14</x:v>
      </x:c>
      <x:c r="M13" s="0">
        <x:f>C13-B13</x:f>
      </x:c>
      <x:c r="N13" s="0">
        <x:f>F13-E13</x:f>
      </x:c>
      <x:c r="O13" s="0">
        <x:f>I13-H13</x:f>
      </x:c>
      <x:c r="Q13" s="0">
        <x:f>D13-B13</x:f>
      </x:c>
      <x:c r="R13" s="0">
        <x:f>G13-E13</x:f>
      </x:c>
      <x:c r="S13" s="0">
        <x:f>J13-H13</x:f>
      </x:c>
    </x:row>
    <x:row r="14" spans="1:19">
      <x:c r="A14" s="0" t="s">
        <x:v>15</x:v>
      </x:c>
      <x:c r="B14" s="0">
        <x:v>521.3775</x:v>
      </x:c>
      <x:c r="C14" s="0">
        <x:v>522.577</x:v>
      </x:c>
      <x:c r="D14" s="0">
        <x:v>522.877</x:v>
      </x:c>
      <x:c r="E14" s="0">
        <x:v>521.011</x:v>
      </x:c>
      <x:c r="F14" s="0">
        <x:f>(530.392+514.429)/2</x:f>
      </x:c>
      <x:c r="G14" s="0">
        <x:v>523.0435</x:v>
      </x:c>
      <x:c r="H14" s="0">
        <x:v>520.5275</x:v>
      </x:c>
      <x:c r="I14" s="0">
        <x:f>(545.588+498.733)/2</x:f>
      </x:c>
      <x:c r="J14" s="0">
        <x:v>522.6605</x:v>
      </x:c>
      <x:c r="L14" s="7" t="s">
        <x:v>15</x:v>
      </x:c>
      <x:c r="M14" s="0">
        <x:f>C14-B14</x:f>
      </x:c>
      <x:c r="N14" s="0">
        <x:f>F14-E14</x:f>
      </x:c>
      <x:c r="O14" s="0">
        <x:f>I14-H14</x:f>
      </x:c>
      <x:c r="Q14" s="0">
        <x:f>D14-B14</x:f>
      </x:c>
      <x:c r="R14" s="0">
        <x:f>G14-E14</x:f>
      </x:c>
      <x:c r="S14" s="0">
        <x:f>J14-H14</x:f>
      </x:c>
    </x:row>
    <x:row r="15" spans="1:19">
      <x:c r="A15" s="0" t="s">
        <x:v>16</x:v>
      </x:c>
      <x:c r="B15" s="0">
        <x:v>538.4895</x:v>
      </x:c>
      <x:c r="C15" s="0">
        <x:v>539.623</x:v>
      </x:c>
      <x:c r="D15" s="0">
        <x:v>540.223</x:v>
      </x:c>
      <x:c r="E15" s="0">
        <x:v>563.217</x:v>
      </x:c>
      <x:c r="F15" s="0">
        <x:v>564.7165</x:v>
      </x:c>
      <x:c r="G15" s="0">
        <x:v>565.3835</x:v>
      </x:c>
      <x:c r="H15" s="0">
        <x:v>528.3425</x:v>
      </x:c>
      <x:c r="I15" s="0">
        <x:v>530.975</x:v>
      </x:c>
      <x:c r="J15" s="3" t="s">
        <x:v>34</x:v>
      </x:c>
      <x:c r="L15" s="7" t="s">
        <x:v>16</x:v>
      </x:c>
      <x:c r="M15" s="0">
        <x:f>C15-B15</x:f>
      </x:c>
      <x:c r="N15" s="0">
        <x:f>F15-E15</x:f>
      </x:c>
      <x:c r="O15" s="0">
        <x:f>I15-H15</x:f>
      </x:c>
      <x:c r="Q15" s="0">
        <x:f>D15-B15</x:f>
      </x:c>
      <x:c r="R15" s="0">
        <x:f>G15-E15</x:f>
      </x:c>
      <x:c r="S15" s="0">
        <x:f>515.162-512.23</x:f>
      </x:c>
    </x:row>
    <x:row r="16" spans="1:19">
      <x:c r="A16" s="0" t="s">
        <x:v>17</x:v>
      </x:c>
      <x:c r="B16" s="0">
        <x:v>538.14</x:v>
      </x:c>
      <x:c r="C16" s="0">
        <x:v>539.6395</x:v>
      </x:c>
      <x:c r="D16" s="0">
        <x:v>540.473</x:v>
      </x:c>
      <x:c r="E16" s="0">
        <x:v>514.879</x:v>
      </x:c>
      <x:c r="F16" s="0">
        <x:f>(516.629+515.862)/2</x:f>
      </x:c>
      <x:c r="G16" s="0">
        <x:v>517.6115</x:v>
      </x:c>
      <x:c r="H16" s="0">
        <x:v>534.041</x:v>
      </x:c>
      <x:c r="I16" s="0">
        <x:v>535.4075</x:v>
      </x:c>
      <x:c r="J16" s="0">
        <x:v>536.4735</x:v>
      </x:c>
      <x:c r="L16" s="7" t="s">
        <x:v>17</x:v>
      </x:c>
      <x:c r="M16" s="0">
        <x:f>C16-B16</x:f>
      </x:c>
      <x:c r="N16" s="0">
        <x:f>F16-E16</x:f>
      </x:c>
      <x:c r="O16" s="0">
        <x:f>I16-H16</x:f>
      </x:c>
      <x:c r="Q16" s="0">
        <x:f>D16-B16</x:f>
      </x:c>
      <x:c r="R16" s="0">
        <x:f>G16-E16</x:f>
      </x:c>
      <x:c r="S16" s="0">
        <x:f>J16-H16</x:f>
      </x:c>
    </x:row>
    <x:row r="17" spans="1:19">
      <x:c r="A17" s="0" t="s">
        <x:v>18</x:v>
      </x:c>
      <x:c r="B17" s="0">
        <x:v>507.9475</x:v>
      </x:c>
      <x:c r="C17" s="0">
        <x:v>509.1805</x:v>
      </x:c>
      <x:c r="D17" s="0">
        <x:v>509.68</x:v>
      </x:c>
      <x:c r="E17" s="0">
        <x:v>536.207</x:v>
      </x:c>
      <x:c r="F17" s="0">
        <x:v>537.407</x:v>
      </x:c>
      <x:c r="G17" s="0">
        <x:v>538.207</x:v>
      </x:c>
      <x:c r="H17" s="0">
        <x:v>544.6885</x:v>
      </x:c>
      <x:c r="I17" s="0">
        <x:v>546.488</x:v>
      </x:c>
      <x:c r="J17" s="0">
        <x:v>547.321</x:v>
      </x:c>
      <x:c r="L17" s="7" t="s">
        <x:v>18</x:v>
      </x:c>
      <x:c r="M17" s="0">
        <x:f>C17-B17</x:f>
      </x:c>
      <x:c r="N17" s="0">
        <x:f>F17-E17</x:f>
      </x:c>
      <x:c r="O17" s="0">
        <x:f>I17-H17</x:f>
      </x:c>
      <x:c r="Q17" s="0">
        <x:f>D17-B17</x:f>
      </x:c>
      <x:c r="R17" s="0">
        <x:f>G17-E17</x:f>
      </x:c>
      <x:c r="S17" s="0">
        <x:f>J17-H17</x:f>
      </x:c>
    </x:row>
    <x:row r="18" spans="1:19">
      <x:c r="A18" s="0" t="s">
        <x:v>19</x:v>
      </x:c>
      <x:c r="B18" s="0">
        <x:v>547.7045</x:v>
      </x:c>
      <x:c r="C18" s="0">
        <x:f>(528.926+569.416)/2</x:f>
      </x:c>
      <x:c r="D18" s="0">
        <x:v>550.2705</x:v>
      </x:c>
      <x:c r="E18" s="0">
        <x:v>512.963</x:v>
      </x:c>
      <x:c r="F18" s="0">
        <x:f>(512.796+515.862)/2</x:f>
      </x:c>
      <x:c r="G18" s="0">
        <x:v>515.196</x:v>
      </x:c>
      <x:c r="H18" s="0">
        <x:v>491.5015</x:v>
      </x:c>
      <x:c r="I18" s="0">
        <x:f>(496.8+489.269)/2</x:f>
      </x:c>
      <x:c r="J18" s="0">
        <x:v>494.6005</x:v>
      </x:c>
      <x:c r="L18" s="7" t="s">
        <x:v>19</x:v>
      </x:c>
      <x:c r="M18" s="0">
        <x:f>C18-B18</x:f>
      </x:c>
      <x:c r="N18" s="0">
        <x:f>F18-E18</x:f>
      </x:c>
      <x:c r="O18" s="0">
        <x:f>I18-H18</x:f>
      </x:c>
      <x:c r="Q18" s="0">
        <x:f>D18-B18</x:f>
      </x:c>
      <x:c r="R18" s="0">
        <x:f>G18-E18</x:f>
      </x:c>
      <x:c r="S18" s="0">
        <x:f>J18-H18</x:f>
      </x:c>
    </x:row>
    <x:row r="19" spans="1:19">
      <x:c r="A19" s="0" t="s">
        <x:v>20</x:v>
      </x:c>
      <x:c r="B19" s="0">
        <x:v>527.359</x:v>
      </x:c>
      <x:c r="C19" s="0">
        <x:v>528.759</x:v>
      </x:c>
      <x:c r="D19" s="0">
        <x:v>529.3255</x:v>
      </x:c>
      <x:c r="E19" s="0">
        <x:v>527.3595</x:v>
      </x:c>
      <x:c r="F19" s="0">
        <x:v>528.826</x:v>
      </x:c>
      <x:c r="G19" s="0">
        <x:v>529.226</x:v>
      </x:c>
      <x:c r="H19" s="0">
        <x:v>519.3615</x:v>
      </x:c>
      <x:c r="I19" s="0">
        <x:v>521.0275</x:v>
      </x:c>
      <x:c r="J19" s="0">
        <x:v>521.494</x:v>
      </x:c>
      <x:c r="L19" s="7" t="s">
        <x:v>20</x:v>
      </x:c>
      <x:c r="M19" s="0">
        <x:f>C19-B19</x:f>
      </x:c>
      <x:c r="N19" s="0">
        <x:f>F19-E19</x:f>
      </x:c>
      <x:c r="O19" s="0">
        <x:f>I19-H19</x:f>
      </x:c>
      <x:c r="Q19" s="0">
        <x:f>D19-B19</x:f>
      </x:c>
      <x:c r="R19" s="0">
        <x:f>G19-E19</x:f>
      </x:c>
      <x:c r="S19" s="0">
        <x:f>J19-H19</x:f>
      </x:c>
    </x:row>
    <x:row r="20" spans="1:19">
      <x:c r="A20" s="0" t="s">
        <x:v>21</x:v>
      </x:c>
      <x:c r="B20" s="0">
        <x:v>543.2055</x:v>
      </x:c>
      <x:c r="C20" s="0">
        <x:v>544.3385</x:v>
      </x:c>
      <x:c r="D20" s="0">
        <x:v>544.805</x:v>
      </x:c>
      <x:c r="E20" s="0">
        <x:v>547.221</x:v>
      </x:c>
      <x:c r="F20" s="0">
        <x:f>(544.422+552.753)/2</x:f>
      </x:c>
      <x:c r="G20" s="0">
        <x:v>549.054</x:v>
      </x:c>
      <x:c r="H20" s="0">
        <x:v>535.241</x:v>
      </x:c>
      <x:c r="I20" s="0">
        <x:v>537.2735</x:v>
      </x:c>
      <x:c r="J20" s="0">
        <x:v>537.4735</x:v>
      </x:c>
      <x:c r="L20" s="7" t="s">
        <x:v>21</x:v>
      </x:c>
      <x:c r="M20" s="0">
        <x:f>C20-B20</x:f>
      </x:c>
      <x:c r="N20" s="0">
        <x:f>F20-E20</x:f>
      </x:c>
      <x:c r="O20" s="0">
        <x:f>I20-H20</x:f>
      </x:c>
      <x:c r="Q20" s="0">
        <x:f>D20-B20</x:f>
      </x:c>
      <x:c r="R20" s="0">
        <x:f>G20-E20</x:f>
      </x:c>
      <x:c r="S20" s="0">
        <x:f>J20-H20</x:f>
      </x:c>
    </x:row>
    <x:row r="21" spans="1:19">
      <x:c r="A21" s="0" t="s">
        <x:v>22</x:v>
      </x:c>
      <x:c r="B21" s="0">
        <x:v>527.426</x:v>
      </x:c>
      <x:c r="C21" s="0">
        <x:v>528.659</x:v>
      </x:c>
      <x:c r="D21" s="0">
        <x:v>528.9925</x:v>
      </x:c>
      <x:c r="E21" s="0">
        <x:v>520.344</x:v>
      </x:c>
      <x:c r="F21" s="0">
        <x:f>(544.755+498.866)/2</x:f>
      </x:c>
      <x:c r="G21" s="0">
        <x:v>522.3105</x:v>
      </x:c>
      <x:c r="H21" s="0">
        <x:v>527.793</x:v>
      </x:c>
      <x:c r="I21" s="0">
        <x:v>529.1255</x:v>
      </x:c>
      <x:c r="J21" s="0">
        <x:v>530.092</x:v>
      </x:c>
      <x:c r="L21" s="7" t="s">
        <x:v>22</x:v>
      </x:c>
      <x:c r="M21" s="0">
        <x:f>C21-B21</x:f>
      </x:c>
      <x:c r="N21" s="0">
        <x:f>F21-E21</x:f>
      </x:c>
      <x:c r="O21" s="0">
        <x:f>I21-H21</x:f>
      </x:c>
      <x:c r="Q21" s="0">
        <x:f>D21-B21</x:f>
      </x:c>
      <x:c r="R21" s="0">
        <x:f>G21-E21</x:f>
      </x:c>
      <x:c r="S21" s="0">
        <x:f>J21-H21</x:f>
      </x:c>
    </x:row>
    <x:row r="22" spans="1:19">
      <x:c r="A22" s="0" t="s">
        <x:v>23</x:v>
      </x:c>
      <x:c r="B22" s="0">
        <x:v>516.562</x:v>
      </x:c>
      <x:c r="C22" s="0">
        <x:v>517.6615</x:v>
      </x:c>
      <x:c r="D22" s="0">
        <x:v>517.8615</x:v>
      </x:c>
      <x:c r="E22" s="0">
        <x:v>504.0815</x:v>
      </x:c>
      <x:c r="F22" s="0">
        <x:v>505.2815</x:v>
      </x:c>
      <x:c r="G22" s="0">
        <x:v>505.6815</x:v>
      </x:c>
      <x:c r="H22" s="0">
        <x:v>520.6605</x:v>
      </x:c>
      <x:c r="I22" s="0">
        <x:v>521.927</x:v>
      </x:c>
      <x:c r="J22" s="0">
        <x:v>522.1605</x:v>
      </x:c>
      <x:c r="L22" s="7" t="s">
        <x:v>23</x:v>
      </x:c>
      <x:c r="M22" s="0">
        <x:f>C22-B22</x:f>
      </x:c>
      <x:c r="N22" s="0">
        <x:f>F22-E22</x:f>
      </x:c>
      <x:c r="O22" s="0">
        <x:f>I22-H22</x:f>
      </x:c>
      <x:c r="Q22" s="0">
        <x:f>D22-B22</x:f>
      </x:c>
      <x:c r="R22" s="0">
        <x:f>G22-E22</x:f>
      </x:c>
      <x:c r="S22" s="0">
        <x:f>J22-H22</x:f>
      </x:c>
    </x:row>
    <x:row r="23" spans="1:19">
      <x:c r="M23" s="3" t="s">
        <x:v>36</x:v>
      </x:c>
      <x:c r="N23" s="3" t="s">
        <x:v>37</x:v>
      </x:c>
      <x:c r="O23" s="3" t="s">
        <x:v>38</x:v>
      </x:c>
      <x:c r="Q23" s="0" cm="1">
        <x:f t="array" ref="Q23:Q23">_xlfn.TEXTJOIN(",",TRUE,TEXT(Q3:Q22,"0.0000"))</x:f>
      </x:c>
      <x:c r="R23" s="0" cm="1">
        <x:f t="array" ref="R23:R23">_xlfn.TEXTJOIN(",",TRUE,TEXT(R3:R22,"0.0000"))</x:f>
      </x:c>
      <x:c r="S23" s="0" cm="1">
        <x:f t="array" ref="S23:S23">_xlfn.TEXTJOIN(",",TRUE,TEXT(S3:S22,"0.0000"))</x:f>
      </x:c>
    </x:row>
    <x:row r="24" spans="1:19">
      <x:c r="L24" s="7" t="s">
        <x:v>40</x:v>
      </x:c>
      <x:c r="Q24" s="0" t="s">
        <x:v>39</x:v>
      </x:c>
      <x:c r="R24" s="0" t="s">
        <x:v>41</x:v>
      </x:c>
      <x:c r="S24" s="0" t="s">
        <x:v>42</x:v>
      </x:c>
    </x:row>
    <x:row r="25" spans="1:19">
      <x:c r="L25" s="0" t="s">
        <x:v>43</x:v>
      </x:c>
      <x:c r="M25" s="0">
        <x:v>0.198</x:v>
      </x:c>
      <x:c r="P25" s="0" t="s">
        <x:v>43</x:v>
      </x:c>
      <x:c r="Q25" s="0" t="s">
        <x:v>45</x:v>
      </x:c>
    </x:row>
    <x:row r="26" spans="1:19">
      <x:c r="L26" s="0" t="s">
        <x:v>44</x:v>
      </x:c>
      <x:c r="M26" s="0" t="s">
        <x:v>46</x:v>
      </x:c>
      <x:c r="P26" s="0" t="s">
        <x:v>44</x:v>
      </x:c>
      <x:c r="Q26" s="0" t="s">
        <x:v>48</x:v>
      </x:c>
    </x:row>
    <x:row r="27" spans="1:19">
      <x:c r="L27" s="0" t="s">
        <x:v>47</x:v>
      </x:c>
      <x:c r="M27" s="0" t="s">
        <x:v>49</x:v>
      </x:c>
      <x:c r="P27" s="0" t="s">
        <x:v>47</x:v>
      </x:c>
      <x:c r="Q27" s="0" t="s">
        <x:v>51</x:v>
      </x:c>
    </x:row>
    <x:row r="28" spans="1:19">
      <x:c r="L28" s="3" t="s">
        <x:v>52</x:v>
      </x:c>
      <x:c r="M28" s="0" t="s">
        <x:v>50</x:v>
      </x:c>
      <x:c r="P28" s="3" t="s">
        <x:v>52</x:v>
      </x:c>
      <x:c r="Q28" s="0" t="s">
        <x:v>54</x:v>
      </x:c>
    </x:row>
    <x:row r="30" spans="1:19">
      <x:c r="M30" s="0" cm="1">
        <x:f t="array" ref="M30:M30">_xlfn.TEXTJOIN(",",TRUE,TEXT((M3:O22),"0.0000"))</x:f>
      </x:c>
      <x:c r="Q30" s="0" cm="1">
        <x:f t="array" ref="Q30:Q30">_xlfn.TEXTJOIN(",",TRUE,TEXT(Q24:S24,"0.0000"))</x:f>
      </x:c>
    </x:row>
    <x:row r="31" spans="1:19">
      <x:c r="M31" s="0" t="s">
        <x:v>53</x:v>
      </x:c>
      <x:c r="Q31" s="0" t="s">
        <x:v>55</x:v>
      </x:c>
    </x:row>
  </x:sheetData>
  <x:mergeCells count="3">
    <x:mergeCell ref="B1:D1"/>
    <x:mergeCell ref="E1:G1"/>
    <x:mergeCell ref="H1:J1"/>
  </x:mergeCells>
  <x:phoneticPr fontId="1"/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5F01FB-4C99-D041-A3E4-D5ED3DD8727B}" mc:Ignorable="x14ac xr xr2 xr3">
  <x:sheetPr>
    <x:outlinePr summaryBelow="1" summaryRight="1"/>
  </x:sheetPr>
  <x:dimension ref="A1:F38"/>
  <x:sheetViews>
    <x:sheetView workbookViewId="0">
      <x:selection activeCell="F2" sqref="F2"/>
    </x:sheetView>
  </x:sheetViews>
  <x:sheetFormatPr baseColWidth="10" defaultColWidth="16.710625" defaultRowHeight="15"/>
  <x:cols>
    <x:col min="1" max="5" width="16.585625" style="0" customWidth="1"/>
    <x:col min="6" max="6" width="21" style="0" customWidth="1"/>
  </x:cols>
  <x:sheetData>
    <x:row r="1" spans="1:6">
      <x:c r="A1" s="3" t="s">
        <x:v>56</x:v>
      </x:c>
      <x:c r="B1" s="0" t="s">
        <x:v>0</x:v>
      </x:c>
      <x:c r="C1" s="0" t="s">
        <x:v>1</x:v>
      </x:c>
      <x:c r="D1" s="0" t="s">
        <x:v>2</x:v>
      </x:c>
      <x:c r="F1" s="3" t="s">
        <x:v>58</x:v>
      </x:c>
    </x:row>
    <x:row r="2" spans="1:6">
      <x:c r="B2" s="0" t="s">
        <x:v>57</x:v>
      </x:c>
      <x:c r="C2" s="0" t="s">
        <x:v>57</x:v>
      </x:c>
      <x:c r="D2" s="0" t="s">
        <x:v>57</x:v>
      </x:c>
    </x:row>
    <x:row r="3" spans="1:6">
      <x:c r="A3" s="0" t="s">
        <x:v>4</x:v>
      </x:c>
      <x:c r="B3" s="0">
        <x:v>0.6134586475</x:v>
      </x:c>
      <x:c r="C3" s="0">
        <x:v>0.5846340656</x:v>
      </x:c>
      <x:c r="D3" s="0">
        <x:v>0.3283133549</x:v>
      </x:c>
      <x:c r="F3" s="5"/>
    </x:row>
    <x:row r="4" spans="1:6">
      <x:c r="A4" s="0" t="s">
        <x:v>5</x:v>
      </x:c>
      <x:c r="B4" s="0">
        <x:v>0.42493308682</x:v>
      </x:c>
      <x:c r="C4" s="0">
        <x:v>0.56098260245</x:v>
      </x:c>
      <x:c r="D4" s="0">
        <x:v>0.45602345075</x:v>
      </x:c>
      <x:c r="F4" s="5"/>
    </x:row>
    <x:row r="5" spans="1:6">
      <x:c r="A5" s="0" t="s">
        <x:v>6</x:v>
      </x:c>
      <x:c r="B5" s="0">
        <x:v>0.58580959175</x:v>
      </x:c>
      <x:c r="C5" s="0">
        <x:v>0.492584552</x:v>
      </x:c>
      <x:c r="D5" s="0">
        <x:v>0.359082413225</x:v>
      </x:c>
      <x:c r="F5" s="5"/>
    </x:row>
    <x:row r="6" spans="1:6">
      <x:c r="A6" s="0" t="s">
        <x:v>7</x:v>
      </x:c>
      <x:c r="B6" s="0">
        <x:v>0.36330962615</x:v>
      </x:c>
      <x:c r="C6" s="0">
        <x:v>0.309384192335</x:v>
      </x:c>
      <x:c r="D6" s="0">
        <x:v>0.067773074475</x:v>
      </x:c>
      <x:c r="F6" s="5"/>
    </x:row>
    <x:row r="7" spans="1:6">
      <x:c r="A7" s="0" t="s">
        <x:v>8</x:v>
      </x:c>
      <x:c r="B7" s="0">
        <x:v>0.75569548897</x:v>
      </x:c>
      <x:c r="C7" s="0">
        <x:v>0.68041489965</x:v>
      </x:c>
      <x:c r="D7" s="0">
        <x:v>0.703967213385</x:v>
      </x:c>
      <x:c r="F7" s="5"/>
    </x:row>
    <x:row r="8" spans="1:6">
      <x:c r="A8" s="0" t="s">
        <x:v>9</x:v>
      </x:c>
      <x:c r="B8" s="0">
        <x:v>0.3747462318</x:v>
      </x:c>
      <x:c r="C8" s="0">
        <x:v>0.14139038495</x:v>
      </x:c>
      <x:c r="D8" s="0">
        <x:v>0.06629956235</x:v>
      </x:c>
      <x:c r="F8" s="5"/>
    </x:row>
    <x:row r="9" spans="1:6">
      <x:c r="A9" s="0" t="s">
        <x:v>10</x:v>
      </x:c>
      <x:c r="B9" s="0">
        <x:v>0.392637374585</x:v>
      </x:c>
      <x:c r="C9" s="0">
        <x:v>0.499412642895</x:v>
      </x:c>
      <x:c r="D9" s="0">
        <x:v>0.33562195195</x:v>
      </x:c>
      <x:c r="F9" s="5"/>
    </x:row>
    <x:row r="10" spans="1:6">
      <x:c r="A10" s="0" t="s">
        <x:v>11</x:v>
      </x:c>
      <x:c r="B10" s="0">
        <x:v>0.60074010462</x:v>
      </x:c>
      <x:c r="C10" s="0">
        <x:v>0.652117045545</x:v>
      </x:c>
      <x:c r="D10" s="0">
        <x:v>0.745913956625</x:v>
      </x:c>
      <x:c r="F10" s="5"/>
    </x:row>
    <x:row r="11" spans="1:6">
      <x:c r="A11" s="0" t="s">
        <x:v>12</x:v>
      </x:c>
      <x:c r="B11" s="0">
        <x:v>0.654596860565</x:v>
      </x:c>
      <x:c r="C11" s="0">
        <x:v>0.665965285735</x:v>
      </x:c>
      <x:c r="D11" s="0">
        <x:v>0.6881743424</x:v>
      </x:c>
      <x:c r="F11" s="5"/>
    </x:row>
    <x:row r="12" spans="1:6">
      <x:c r="A12" s="0" t="s">
        <x:v>13</x:v>
      </x:c>
      <x:c r="B12" s="0">
        <x:v>0.679995599445</x:v>
      </x:c>
      <x:c r="C12" s="0">
        <x:v>0.803121210475</x:v>
      </x:c>
      <x:c r="D12" s="0">
        <x:v>0.70241096997</x:v>
      </x:c>
      <x:c r="F12" s="5"/>
    </x:row>
    <x:row r="13" spans="1:6">
      <x:c r="A13" s="0" t="s">
        <x:v>14</x:v>
      </x:c>
      <x:c r="B13" s="0">
        <x:v>0.739932654</x:v>
      </x:c>
      <x:c r="C13" s="0">
        <x:v>0.662645814295</x:v>
      </x:c>
      <x:c r="D13" s="0">
        <x:v>0.599053543495</x:v>
      </x:c>
      <x:c r="F13" s="5"/>
    </x:row>
    <x:row r="14" spans="1:6">
      <x:c r="A14" s="0" t="s">
        <x:v>15</x:v>
      </x:c>
      <x:c r="B14" s="0">
        <x:v>0.62751956826</x:v>
      </x:c>
      <x:c r="C14" s="0">
        <x:v>0.723537348035</x:v>
      </x:c>
      <x:c r="D14" s="0">
        <x:v>0.5082320399</x:v>
      </x:c>
      <x:c r="F14" s="5"/>
    </x:row>
    <x:row r="15" spans="1:6">
      <x:c r="A15" s="0" t="s">
        <x:v>16</x:v>
      </x:c>
      <x:c r="B15" s="0">
        <x:v>0.443426856445</x:v>
      </x:c>
      <x:c r="C15" s="0">
        <x:v>0.39007388655</x:v>
      </x:c>
      <x:c r="D15" s="0">
        <x:v>0.20176988455</x:v>
      </x:c>
      <x:c r="F15" s="5"/>
    </x:row>
    <x:row r="16" spans="1:6">
      <x:c r="A16" s="0" t="s">
        <x:v>17</x:v>
      </x:c>
      <x:c r="B16" s="0">
        <x:v>0.5941709329</x:v>
      </x:c>
      <x:c r="C16" s="0">
        <x:v>0.62232393675</x:v>
      </x:c>
      <x:c r="D16" s="0">
        <x:v>0.7167552315</x:v>
      </x:c>
      <x:c r="F16" s="5"/>
    </x:row>
    <x:row r="17" spans="1:6">
      <x:c r="A17" s="0" t="s">
        <x:v>18</x:v>
      </x:c>
      <x:c r="B17" s="0">
        <x:v>0.73278418545</x:v>
      </x:c>
      <x:c r="C17" s="0">
        <x:v>0.70904865692</x:v>
      </x:c>
      <x:c r="D17" s="0">
        <x:v>0.606370453185</x:v>
      </x:c>
      <x:c r="F17" s="5"/>
    </x:row>
    <x:row r="18" spans="1:6">
      <x:c r="A18" s="0" t="s">
        <x:v>19</x:v>
      </x:c>
      <x:c r="B18" s="0">
        <x:v>0.733691902645</x:v>
      </x:c>
      <x:c r="C18" s="0">
        <x:v>0.8676510632</x:v>
      </x:c>
      <x:c r="D18" s="0">
        <x:v>0.9030745925</x:v>
      </x:c>
      <x:c r="F18" s="5"/>
    </x:row>
    <x:row r="19" spans="1:6">
      <x:c r="A19" s="0" t="s">
        <x:v>20</x:v>
      </x:c>
      <x:c r="B19" s="0">
        <x:v>0.591905264</x:v>
      </x:c>
      <x:c r="C19" s="0">
        <x:v>0.58376439915</x:v>
      </x:c>
      <x:c r="D19" s="0">
        <x:v>0.499908262595</x:v>
      </x:c>
      <x:c r="F19" s="5"/>
    </x:row>
    <x:row r="20" spans="1:6">
      <x:c r="A20" s="0" t="s">
        <x:v>21</x:v>
      </x:c>
      <x:c r="B20" s="0">
        <x:v>0.814641028465</x:v>
      </x:c>
      <x:c r="C20" s="0">
        <x:v>0.708484348</x:v>
      </x:c>
      <x:c r="D20" s="0">
        <x:v>0.6293808941</x:v>
      </x:c>
      <x:c r="F20" s="5"/>
    </x:row>
    <x:row r="21" spans="1:6">
      <x:c r="A21" s="0" t="s">
        <x:v>22</x:v>
      </x:c>
      <x:c r="B21" s="0">
        <x:v>0.58648059665</x:v>
      </x:c>
      <x:c r="C21" s="0">
        <x:v>0.953727152985</x:v>
      </x:c>
      <x:c r="D21" s="0">
        <x:v>0.671862222435</x:v>
      </x:c>
      <x:c r="F21" s="5"/>
    </x:row>
    <x:row r="22" spans="1:6">
      <x:c r="A22" s="0" t="s">
        <x:v>23</x:v>
      </x:c>
      <x:c r="B22" s="0">
        <x:v>0.633516462545</x:v>
      </x:c>
      <x:c r="C22" s="0">
        <x:v>0.606874321</x:v>
      </x:c>
      <x:c r="D22" s="0">
        <x:v>0.728008014195</x:v>
      </x:c>
      <x:c r="F22" s="5"/>
    </x:row>
    <x:row r="23" spans="1:6">
      <x:c r="B23" s="0" t="s">
        <x:v>59</x:v>
      </x:c>
      <x:c r="C23" s="0" t="s">
        <x:v>60</x:v>
      </x:c>
      <x:c r="D23" s="0" t="s">
        <x:v>61</x:v>
      </x:c>
      <x:c r="F23" s="5"/>
    </x:row>
    <x:row r="24" spans="1:6">
      <x:c r="B24" s="0" cm="1">
        <x:f t="array" ref="B24:B24">_xlfn.TEXTJOIN(",",TRUE,TEXT(B3:B22,"0.000000000"))</x:f>
      </x:c>
      <x:c r="C24" s="0" cm="1">
        <x:f t="array" ref="C24:C24">_xlfn.TEXTJOIN(",",TRUE,TEXT(C3:C22,"0.000000000"))</x:f>
      </x:c>
      <x:c r="D24" s="0" cm="1">
        <x:f t="array" ref="D24:D24">_xlfn.TEXTJOIN(",",TRUE,TEXT(D3:D22,"0.000000000"))</x:f>
      </x:c>
      <x:c r="F24" s="5"/>
    </x:row>
    <x:row r="25" spans="1:6">
      <x:c r="B25" s="0" t="s">
        <x:v>62</x:v>
      </x:c>
      <x:c r="C25" s="0" t="s">
        <x:v>63</x:v>
      </x:c>
      <x:c r="D25" s="0" t="s">
        <x:v>64</x:v>
      </x:c>
      <x:c r="F25" s="5"/>
    </x:row>
    <x:row r="26" spans="1:6">
      <x:c r="A26" s="0" t="s">
        <x:v>43</x:v>
      </x:c>
      <x:c r="B26" s="0">
        <x:v>0.632</x:v>
      </x:c>
      <x:c r="F26" s="5"/>
    </x:row>
    <x:row r="27" spans="1:6">
      <x:c r="A27" s="0" t="s">
        <x:v>44</x:v>
      </x:c>
      <x:c r="B27" s="0" t="s">
        <x:v>65</x:v>
      </x:c>
      <x:c r="F27" s="5"/>
    </x:row>
    <x:row r="28" spans="1:6">
      <x:c r="A28" s="0" t="s">
        <x:v>47</x:v>
      </x:c>
      <x:c r="B28" s="0" t="s">
        <x:v>67</x:v>
      </x:c>
      <x:c r="F28" s="5"/>
    </x:row>
    <x:row r="29" spans="1:6">
      <x:c r="A29" s="3" t="s">
        <x:v>52</x:v>
      </x:c>
      <x:c r="B29" s="0" t="s">
        <x:v>68</x:v>
      </x:c>
      <x:c r="F29" s="5"/>
    </x:row>
    <x:row r="30" spans="1:6">
      <x:c r="D30" s="0" cm="1">
        <x:f t="array" ref="D30:D30">_xlfn.TEXTJOIN(",",TRUE,TEXT((B3:D22),"0.000000000"))</x:f>
      </x:c>
      <x:c r="F30" s="5"/>
    </x:row>
    <x:row r="31" spans="1:6">
      <x:c r="D31" s="0" t="s">
        <x:v>66</x:v>
      </x:c>
      <x:c r="F31" s="5"/>
    </x:row>
    <x:row r="32" spans="1:6">
      <x:c r="F32" s="5"/>
    </x:row>
    <x:row r="33" spans="1:6">
      <x:c r="F33" s="5"/>
    </x:row>
    <x:row r="34" spans="1:6">
      <x:c r="F34" s="5"/>
    </x:row>
    <x:row r="35" spans="1:6">
      <x:c r="F35" s="5"/>
    </x:row>
    <x:row r="36" spans="1:6">
      <x:c r="F36" s="5"/>
    </x:row>
    <x:row r="37" spans="1:6">
      <x:c r="F37" s="5"/>
    </x:row>
    <x:row r="38" spans="1:6">
      <x:c r="F38" s="5"/>
    </x:row>
  </x:sheetData>
  <x:phoneticPr fontId="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Result</vt:lpstr>
      <vt:lpstr>反応時間</vt:lpstr>
      <vt:lpstr>ステアリング操作量</vt:lpstr>
      <vt:lpstr>Result!Print_Area</vt:lpstr>
      <vt:lpstr>Result!Print_Titles</vt:lpstr>
      <vt:lpstr>反応時間!Print_Area</vt:lpstr>
      <vt:lpstr>反応時間!Print_Titles</vt:lpstr>
      <vt:lpstr>ステアリング操作量!Print_Area</vt:lpstr>
      <vt:lpstr>ステアリング操作量!Print_Titles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MORIYAMA Yuto</lastModifiedBy>
  <dcterms:created xsi:type="dcterms:W3CDTF">2026-01-19T05:58:20.0000000Z</dcterms:created>
  <dcterms:modified xsi:type="dcterms:W3CDTF">2026-01-19T19:37:22.0000000Z</dcterms:modified>
</coreProperties>
</file>